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Draft_team" sheetId="1" r:id="rId4"/>
    <sheet state="visible" name="2024_Roster_Offseason" sheetId="2" r:id="rId5"/>
    <sheet state="visible" name="2024_Transactions" sheetId="3" r:id="rId6"/>
    <sheet state="visible" name="2024_Draft_team" sheetId="4" r:id="rId7"/>
    <sheet state="visible" name="2026 Rule Changes" sheetId="5" r:id="rId8"/>
  </sheets>
  <definedNames>
    <definedName hidden="1" localSheetId="0" name="_xlnm._FilterDatabase">'2025_Draft_team'!$B$2:$E$272</definedName>
    <definedName hidden="1" localSheetId="1" name="_xlnm._FilterDatabase">'2024_Roster_Offseason'!$A$1:$Q$301</definedName>
  </definedNames>
  <calcPr/>
  <extLst>
    <ext uri="GoogleSheetsCustomDataVersion2">
      <go:sheetsCustomData xmlns:go="http://customooxmlschemas.google.com/" r:id="rId9" roundtripDataChecksum="9ce5K7pCaQaCZbvwiOsPiqXJ2EytDLX4wnhrJqmxBN8="/>
    </ext>
  </extLst>
</workbook>
</file>

<file path=xl/sharedStrings.xml><?xml version="1.0" encoding="utf-8"?>
<sst xmlns="http://schemas.openxmlformats.org/spreadsheetml/2006/main" count="8614" uniqueCount="1831">
  <si>
    <t>Round</t>
  </si>
  <si>
    <t>Pick</t>
  </si>
  <si>
    <t>Team</t>
  </si>
  <si>
    <t>PlayerMatch</t>
  </si>
  <si>
    <t xml:space="preserve">Gatordontplay </t>
  </si>
  <si>
    <t>Box of Rocks</t>
  </si>
  <si>
    <t>Woody and the Jets!</t>
  </si>
  <si>
    <t>Go Go Garrett</t>
  </si>
  <si>
    <t>Discount Belichick</t>
  </si>
  <si>
    <t>Team 4</t>
  </si>
  <si>
    <t>The Bushwhackers</t>
  </si>
  <si>
    <t>Sweet Chin Music</t>
  </si>
  <si>
    <t>Fields of Dreams</t>
  </si>
  <si>
    <t xml:space="preserve">Let Bijans be Bijans </t>
  </si>
  <si>
    <t>Pos</t>
  </si>
  <si>
    <t>First</t>
  </si>
  <si>
    <t>Last</t>
  </si>
  <si>
    <t>Position</t>
  </si>
  <si>
    <t>Blank</t>
  </si>
  <si>
    <t>Team2</t>
  </si>
  <si>
    <t>PosRnk</t>
  </si>
  <si>
    <t>Rost</t>
  </si>
  <si>
    <t>Start</t>
  </si>
  <si>
    <t>Prd. 22</t>
  </si>
  <si>
    <t>Avg</t>
  </si>
  <si>
    <t>Proj</t>
  </si>
  <si>
    <t>2024Transactions</t>
  </si>
  <si>
    <t>2025Draft</t>
  </si>
  <si>
    <t>Keeper</t>
  </si>
  <si>
    <t>QB</t>
  </si>
  <si>
    <t>Derek</t>
  </si>
  <si>
    <t>Carr</t>
  </si>
  <si>
    <t>|</t>
  </si>
  <si>
    <t>NO</t>
  </si>
  <si>
    <t>N</t>
  </si>
  <si>
    <t>Brock</t>
  </si>
  <si>
    <t>Purdy</t>
  </si>
  <si>
    <t>SF</t>
  </si>
  <si>
    <t>Y</t>
  </si>
  <si>
    <t>RB</t>
  </si>
  <si>
    <t>Nick</t>
  </si>
  <si>
    <t>Chubb</t>
  </si>
  <si>
    <t>CLE</t>
  </si>
  <si>
    <t>Josh</t>
  </si>
  <si>
    <t>Jacobs</t>
  </si>
  <si>
    <t>GB</t>
  </si>
  <si>
    <t>WR-TE</t>
  </si>
  <si>
    <t>Davante</t>
  </si>
  <si>
    <t>Adams</t>
  </si>
  <si>
    <t>NYJ</t>
  </si>
  <si>
    <t>Jauan</t>
  </si>
  <si>
    <t>Jennings</t>
  </si>
  <si>
    <t>Quentin</t>
  </si>
  <si>
    <t>Johnston</t>
  </si>
  <si>
    <t>LAC</t>
  </si>
  <si>
    <t>K</t>
  </si>
  <si>
    <t>Jason</t>
  </si>
  <si>
    <t>Sanders</t>
  </si>
  <si>
    <t>MIA</t>
  </si>
  <si>
    <t>DL-LB-DB</t>
  </si>
  <si>
    <t>Jessie</t>
  </si>
  <si>
    <t>Bates</t>
  </si>
  <si>
    <t>III</t>
  </si>
  <si>
    <t>ATL</t>
  </si>
  <si>
    <t>Kevin</t>
  </si>
  <si>
    <t>Byard</t>
  </si>
  <si>
    <t>CHI</t>
  </si>
  <si>
    <t>Grant</t>
  </si>
  <si>
    <t>Delpit</t>
  </si>
  <si>
    <t>Amani</t>
  </si>
  <si>
    <t>Hooker</t>
  </si>
  <si>
    <t>TEN</t>
  </si>
  <si>
    <t>Xavier</t>
  </si>
  <si>
    <t>McKinney</t>
  </si>
  <si>
    <t>Trevon</t>
  </si>
  <si>
    <t>Moehrig</t>
  </si>
  <si>
    <t>LV</t>
  </si>
  <si>
    <t>Byron</t>
  </si>
  <si>
    <t>Murphy</t>
  </si>
  <si>
    <t>MIN</t>
  </si>
  <si>
    <t>Tommy</t>
  </si>
  <si>
    <t>DeVito</t>
  </si>
  <si>
    <t>NYG</t>
  </si>
  <si>
    <t>Jameis</t>
  </si>
  <si>
    <t>Winston</t>
  </si>
  <si>
    <t>Rico</t>
  </si>
  <si>
    <t>Dowdle</t>
  </si>
  <si>
    <t>DAL</t>
  </si>
  <si>
    <t>Kareem</t>
  </si>
  <si>
    <t>Hunt</t>
  </si>
  <si>
    <t>KC</t>
  </si>
  <si>
    <t>Amari</t>
  </si>
  <si>
    <t>Cooper</t>
  </si>
  <si>
    <t>BUF</t>
  </si>
  <si>
    <t>Allen</t>
  </si>
  <si>
    <t>Lazard</t>
  </si>
  <si>
    <t>Terry</t>
  </si>
  <si>
    <t>McLaurin</t>
  </si>
  <si>
    <t>WAS</t>
  </si>
  <si>
    <t>Chamarri</t>
  </si>
  <si>
    <t>Conner</t>
  </si>
  <si>
    <t>Brandon</t>
  </si>
  <si>
    <t>Jones</t>
  </si>
  <si>
    <t>DEN</t>
  </si>
  <si>
    <t>Jaylon</t>
  </si>
  <si>
    <t>IND</t>
  </si>
  <si>
    <t>Kayvon</t>
  </si>
  <si>
    <t>Thibodeaux</t>
  </si>
  <si>
    <t>Devon</t>
  </si>
  <si>
    <t>Witherspoon</t>
  </si>
  <si>
    <t>SEA</t>
  </si>
  <si>
    <t>Dak</t>
  </si>
  <si>
    <t>Prescott</t>
  </si>
  <si>
    <t>Christian</t>
  </si>
  <si>
    <t>McCaffrey</t>
  </si>
  <si>
    <t>Rashid</t>
  </si>
  <si>
    <t>Shaheed</t>
  </si>
  <si>
    <t>Daxton</t>
  </si>
  <si>
    <t>Hill</t>
  </si>
  <si>
    <t>CIN</t>
  </si>
  <si>
    <t>Alex</t>
  </si>
  <si>
    <t>Singleton</t>
  </si>
  <si>
    <t>Jalen</t>
  </si>
  <si>
    <t>Hurts</t>
  </si>
  <si>
    <t>PHI</t>
  </si>
  <si>
    <t>Bo</t>
  </si>
  <si>
    <t>Nix</t>
  </si>
  <si>
    <t>Breece</t>
  </si>
  <si>
    <t>Hall</t>
  </si>
  <si>
    <t>Tyrone</t>
  </si>
  <si>
    <t>Tracy</t>
  </si>
  <si>
    <t>Jr.</t>
  </si>
  <si>
    <t>Bowers</t>
  </si>
  <si>
    <t>A.J.</t>
  </si>
  <si>
    <t>Brown</t>
  </si>
  <si>
    <t>Kupp</t>
  </si>
  <si>
    <t>LAR</t>
  </si>
  <si>
    <t>Younghoe</t>
  </si>
  <si>
    <t>Koo</t>
  </si>
  <si>
    <t>Jack</t>
  </si>
  <si>
    <t>Campbell</t>
  </si>
  <si>
    <t>DET</t>
  </si>
  <si>
    <t>Jonathan</t>
  </si>
  <si>
    <t>Greenard</t>
  </si>
  <si>
    <t>Daiyan</t>
  </si>
  <si>
    <t>Henley</t>
  </si>
  <si>
    <t>Foye</t>
  </si>
  <si>
    <t>Oluokun</t>
  </si>
  <si>
    <t>JAC</t>
  </si>
  <si>
    <t>Micah</t>
  </si>
  <si>
    <t>Parsons</t>
  </si>
  <si>
    <t>Rozeboom</t>
  </si>
  <si>
    <t>Quay</t>
  </si>
  <si>
    <t>Walker</t>
  </si>
  <si>
    <t>Isaac</t>
  </si>
  <si>
    <t>Guerendo</t>
  </si>
  <si>
    <t>Isiah</t>
  </si>
  <si>
    <t>Pacheco</t>
  </si>
  <si>
    <t>Brian</t>
  </si>
  <si>
    <t>Robinson</t>
  </si>
  <si>
    <t>Patrick</t>
  </si>
  <si>
    <t>Taylor</t>
  </si>
  <si>
    <t>Dalton</t>
  </si>
  <si>
    <t>Kincaid</t>
  </si>
  <si>
    <t>Khalil</t>
  </si>
  <si>
    <t>Shakir</t>
  </si>
  <si>
    <t>Cody</t>
  </si>
  <si>
    <t>Barton</t>
  </si>
  <si>
    <t>DeShon</t>
  </si>
  <si>
    <t>Elliott</t>
  </si>
  <si>
    <t>PIT</t>
  </si>
  <si>
    <t>Harris</t>
  </si>
  <si>
    <t>HOU</t>
  </si>
  <si>
    <t>Devin</t>
  </si>
  <si>
    <t>Lloyd</t>
  </si>
  <si>
    <t>Darius</t>
  </si>
  <si>
    <t>Muasau</t>
  </si>
  <si>
    <t>Trenton</t>
  </si>
  <si>
    <t>Simpson</t>
  </si>
  <si>
    <t>BAL</t>
  </si>
  <si>
    <t>Chris</t>
  </si>
  <si>
    <t>Olave</t>
  </si>
  <si>
    <t>Jeremiah</t>
  </si>
  <si>
    <t>Owusu-Koramoah</t>
  </si>
  <si>
    <t>Jayden</t>
  </si>
  <si>
    <t>Daniels</t>
  </si>
  <si>
    <t>Geno</t>
  </si>
  <si>
    <t>Smith</t>
  </si>
  <si>
    <t>Jahmyr</t>
  </si>
  <si>
    <t>Gibbs</t>
  </si>
  <si>
    <t>Tyjae</t>
  </si>
  <si>
    <t>Spears</t>
  </si>
  <si>
    <t>Ja'Marr</t>
  </si>
  <si>
    <t>Chase</t>
  </si>
  <si>
    <t>Justin</t>
  </si>
  <si>
    <t>Jefferson</t>
  </si>
  <si>
    <t>Puka</t>
  </si>
  <si>
    <t>Nacua</t>
  </si>
  <si>
    <t>Ka'imi</t>
  </si>
  <si>
    <t>Fairbairn</t>
  </si>
  <si>
    <t>Kaden</t>
  </si>
  <si>
    <t>Elliss</t>
  </si>
  <si>
    <t>Kyle</t>
  </si>
  <si>
    <t>Hamilton</t>
  </si>
  <si>
    <t>Ernest</t>
  </si>
  <si>
    <t>Tyrice</t>
  </si>
  <si>
    <t>Knight</t>
  </si>
  <si>
    <t>Ty</t>
  </si>
  <si>
    <t>Summers</t>
  </si>
  <si>
    <t>Pete</t>
  </si>
  <si>
    <t>Werner</t>
  </si>
  <si>
    <t>Kyzir</t>
  </si>
  <si>
    <t>White</t>
  </si>
  <si>
    <t>ARI</t>
  </si>
  <si>
    <t>Russell</t>
  </si>
  <si>
    <t>Wilson</t>
  </si>
  <si>
    <t>Chuba</t>
  </si>
  <si>
    <t>Hubbard</t>
  </si>
  <si>
    <t>CAR</t>
  </si>
  <si>
    <t>Joe</t>
  </si>
  <si>
    <t>Mixon</t>
  </si>
  <si>
    <t>D'Andre</t>
  </si>
  <si>
    <t>Swift</t>
  </si>
  <si>
    <t>Jaylen</t>
  </si>
  <si>
    <t>Warren</t>
  </si>
  <si>
    <t>Trey</t>
  </si>
  <si>
    <t>McBride</t>
  </si>
  <si>
    <t>DK</t>
  </si>
  <si>
    <t>Metcalf</t>
  </si>
  <si>
    <t>Azeez</t>
  </si>
  <si>
    <t>Al-Shaair</t>
  </si>
  <si>
    <t>DaRon</t>
  </si>
  <si>
    <t>Bland</t>
  </si>
  <si>
    <t>Cedric</t>
  </si>
  <si>
    <t>Gray</t>
  </si>
  <si>
    <t>McFadden</t>
  </si>
  <si>
    <t>Drew</t>
  </si>
  <si>
    <t>Godwin</t>
  </si>
  <si>
    <t>TB</t>
  </si>
  <si>
    <t>Shaq</t>
  </si>
  <si>
    <t>Green-Thompson</t>
  </si>
  <si>
    <t>Kenneth</t>
  </si>
  <si>
    <t>Murray</t>
  </si>
  <si>
    <t>Bobby</t>
  </si>
  <si>
    <t>Okereke</t>
  </si>
  <si>
    <t>Jared</t>
  </si>
  <si>
    <t>Goff</t>
  </si>
  <si>
    <t>Baker</t>
  </si>
  <si>
    <t>Mayfield</t>
  </si>
  <si>
    <t>Derrick</t>
  </si>
  <si>
    <t>Henry</t>
  </si>
  <si>
    <t>Aaron</t>
  </si>
  <si>
    <t>Marvin</t>
  </si>
  <si>
    <t>Harrison</t>
  </si>
  <si>
    <t>Travis</t>
  </si>
  <si>
    <t>Kelce</t>
  </si>
  <si>
    <t>Courtland</t>
  </si>
  <si>
    <t>Sutton</t>
  </si>
  <si>
    <t>Jake</t>
  </si>
  <si>
    <t>Joey</t>
  </si>
  <si>
    <t>Bosa</t>
  </si>
  <si>
    <t>Kamren</t>
  </si>
  <si>
    <t>Curl</t>
  </si>
  <si>
    <t>Lavonte</t>
  </si>
  <si>
    <t>David</t>
  </si>
  <si>
    <t>Taron</t>
  </si>
  <si>
    <t>Johnson</t>
  </si>
  <si>
    <t>Reid</t>
  </si>
  <si>
    <t>Thompson</t>
  </si>
  <si>
    <t>Drue</t>
  </si>
  <si>
    <t>Tranquill</t>
  </si>
  <si>
    <t>Rodgers</t>
  </si>
  <si>
    <t>Gus</t>
  </si>
  <si>
    <t>Edwards</t>
  </si>
  <si>
    <t>Tony</t>
  </si>
  <si>
    <t>Pollard</t>
  </si>
  <si>
    <t>Dallas</t>
  </si>
  <si>
    <t>Goedert</t>
  </si>
  <si>
    <t>T.J.</t>
  </si>
  <si>
    <t>Hockenson</t>
  </si>
  <si>
    <t>Tyler</t>
  </si>
  <si>
    <t>Lockett</t>
  </si>
  <si>
    <t>Deebo</t>
  </si>
  <si>
    <t>Samuel</t>
  </si>
  <si>
    <t>Waddle</t>
  </si>
  <si>
    <t>Kwity</t>
  </si>
  <si>
    <t>Paye</t>
  </si>
  <si>
    <t>Verse</t>
  </si>
  <si>
    <t>Antoine</t>
  </si>
  <si>
    <t>Winfield</t>
  </si>
  <si>
    <t>Butker</t>
  </si>
  <si>
    <t>Kirk</t>
  </si>
  <si>
    <t>Cousins</t>
  </si>
  <si>
    <t>Mahomes</t>
  </si>
  <si>
    <t>De'Von</t>
  </si>
  <si>
    <t>Achane</t>
  </si>
  <si>
    <t>Kyren</t>
  </si>
  <si>
    <t>Williams</t>
  </si>
  <si>
    <t>Sam</t>
  </si>
  <si>
    <t>LaPorta</t>
  </si>
  <si>
    <t>Thomas</t>
  </si>
  <si>
    <t>Westbrook-Ikhine</t>
  </si>
  <si>
    <t>Boswell</t>
  </si>
  <si>
    <t>Blake</t>
  </si>
  <si>
    <t>Cashman</t>
  </si>
  <si>
    <t>Derwin</t>
  </si>
  <si>
    <t>James</t>
  </si>
  <si>
    <t>Josey</t>
  </si>
  <si>
    <t>Jewell</t>
  </si>
  <si>
    <t>Julian</t>
  </si>
  <si>
    <t>Love</t>
  </si>
  <si>
    <t>Andrew</t>
  </si>
  <si>
    <t>Van</t>
  </si>
  <si>
    <t>Ginkel</t>
  </si>
  <si>
    <t>Quincy</t>
  </si>
  <si>
    <t>Woods</t>
  </si>
  <si>
    <t>Jonathon</t>
  </si>
  <si>
    <t>Brooks</t>
  </si>
  <si>
    <t>Montgomery</t>
  </si>
  <si>
    <t>Romeo</t>
  </si>
  <si>
    <t>Doubs</t>
  </si>
  <si>
    <t>Zay</t>
  </si>
  <si>
    <t>Flowers</t>
  </si>
  <si>
    <t>Michael</t>
  </si>
  <si>
    <t>Pittman</t>
  </si>
  <si>
    <t>Wan'Dale</t>
  </si>
  <si>
    <t>Garrett</t>
  </si>
  <si>
    <t>Blackmon</t>
  </si>
  <si>
    <t>Burns</t>
  </si>
  <si>
    <t>Roquan</t>
  </si>
  <si>
    <t>Paulson</t>
  </si>
  <si>
    <t>Adebo</t>
  </si>
  <si>
    <t>Aidan</t>
  </si>
  <si>
    <t>Hutchinson</t>
  </si>
  <si>
    <t>Jordan</t>
  </si>
  <si>
    <t>Cook</t>
  </si>
  <si>
    <t>Bijan</t>
  </si>
  <si>
    <t>Addison</t>
  </si>
  <si>
    <t>Mark</t>
  </si>
  <si>
    <t>Andrews</t>
  </si>
  <si>
    <t>Malik</t>
  </si>
  <si>
    <t>Nabers</t>
  </si>
  <si>
    <t>Bass</t>
  </si>
  <si>
    <t>Terrel</t>
  </si>
  <si>
    <t>Bernard</t>
  </si>
  <si>
    <t>Bolton</t>
  </si>
  <si>
    <t>Edgerrin</t>
  </si>
  <si>
    <t>Danielle</t>
  </si>
  <si>
    <t>Hunter</t>
  </si>
  <si>
    <t>E.J.</t>
  </si>
  <si>
    <t>Speed</t>
  </si>
  <si>
    <t>Robert</t>
  </si>
  <si>
    <t>Spillane</t>
  </si>
  <si>
    <t>Kyler</t>
  </si>
  <si>
    <t>Cam</t>
  </si>
  <si>
    <t>Akers</t>
  </si>
  <si>
    <t>Keon</t>
  </si>
  <si>
    <t>Coleman</t>
  </si>
  <si>
    <t>Jerry</t>
  </si>
  <si>
    <t>Jeudy</t>
  </si>
  <si>
    <t>Darnell</t>
  </si>
  <si>
    <t>Mooney</t>
  </si>
  <si>
    <t>Rome</t>
  </si>
  <si>
    <t>Odunze</t>
  </si>
  <si>
    <t>Luke</t>
  </si>
  <si>
    <t>Gifford</t>
  </si>
  <si>
    <t>Highsmith</t>
  </si>
  <si>
    <t>Ivan</t>
  </si>
  <si>
    <t>Pace</t>
  </si>
  <si>
    <t>Turner</t>
  </si>
  <si>
    <t>Anthony</t>
  </si>
  <si>
    <t>MarShawn</t>
  </si>
  <si>
    <t>Aiyuk</t>
  </si>
  <si>
    <t>DeMarvion</t>
  </si>
  <si>
    <t>Overshown</t>
  </si>
  <si>
    <t>Lamar</t>
  </si>
  <si>
    <t>Jackson</t>
  </si>
  <si>
    <t>Bryce</t>
  </si>
  <si>
    <t>Young</t>
  </si>
  <si>
    <t>Zach</t>
  </si>
  <si>
    <t>Charbonnet</t>
  </si>
  <si>
    <t>Najee</t>
  </si>
  <si>
    <t>George</t>
  </si>
  <si>
    <t>Kittle</t>
  </si>
  <si>
    <t>Ladd</t>
  </si>
  <si>
    <t>McConkey</t>
  </si>
  <si>
    <t>Jakobi</t>
  </si>
  <si>
    <t>Meyers</t>
  </si>
  <si>
    <t>McLaughlin</t>
  </si>
  <si>
    <t>Budda</t>
  </si>
  <si>
    <t>Zack</t>
  </si>
  <si>
    <t>Baun</t>
  </si>
  <si>
    <t>Zaire</t>
  </si>
  <si>
    <t>Franklin</t>
  </si>
  <si>
    <t>Hendrickson</t>
  </si>
  <si>
    <t>Kerby</t>
  </si>
  <si>
    <t>Joseph</t>
  </si>
  <si>
    <t>Watt</t>
  </si>
  <si>
    <t>Jacoby</t>
  </si>
  <si>
    <t>Windmon</t>
  </si>
  <si>
    <t>Tua</t>
  </si>
  <si>
    <t>Tagovailoa</t>
  </si>
  <si>
    <t>Alvin</t>
  </si>
  <si>
    <t>Kamara</t>
  </si>
  <si>
    <t>Alexander</t>
  </si>
  <si>
    <t>Mattison</t>
  </si>
  <si>
    <t>Kendre</t>
  </si>
  <si>
    <t>Miller</t>
  </si>
  <si>
    <t>Tyreek</t>
  </si>
  <si>
    <t>CeeDee</t>
  </si>
  <si>
    <t>Lamb</t>
  </si>
  <si>
    <t>McMillan</t>
  </si>
  <si>
    <t>Myers</t>
  </si>
  <si>
    <t>Minkah</t>
  </si>
  <si>
    <t>Fitzpatrick</t>
  </si>
  <si>
    <t>Hicks</t>
  </si>
  <si>
    <t>Alontae</t>
  </si>
  <si>
    <t>Travon</t>
  </si>
  <si>
    <t>Miles</t>
  </si>
  <si>
    <t>Darnold</t>
  </si>
  <si>
    <t>Caleb</t>
  </si>
  <si>
    <t>Saquon</t>
  </si>
  <si>
    <t>Barkley</t>
  </si>
  <si>
    <t>Mike</t>
  </si>
  <si>
    <t>Evans</t>
  </si>
  <si>
    <t>DeAndre</t>
  </si>
  <si>
    <t>Hopkins</t>
  </si>
  <si>
    <t>Jaxon</t>
  </si>
  <si>
    <t>Smith-Njigba</t>
  </si>
  <si>
    <t>Aubrey</t>
  </si>
  <si>
    <t>Will</t>
  </si>
  <si>
    <t>Anderson</t>
  </si>
  <si>
    <t>Nakobe</t>
  </si>
  <si>
    <t>Dean</t>
  </si>
  <si>
    <t>Tremaine</t>
  </si>
  <si>
    <t>Edmunds</t>
  </si>
  <si>
    <t>Hines-Allen</t>
  </si>
  <si>
    <t>McDonald</t>
  </si>
  <si>
    <t>IV</t>
  </si>
  <si>
    <t>Jamien</t>
  </si>
  <si>
    <t>Sherwood</t>
  </si>
  <si>
    <t>Dorian</t>
  </si>
  <si>
    <t>Drake</t>
  </si>
  <si>
    <t>Maye</t>
  </si>
  <si>
    <t>NE</t>
  </si>
  <si>
    <t>Keenan</t>
  </si>
  <si>
    <t>Tank</t>
  </si>
  <si>
    <t>Dell</t>
  </si>
  <si>
    <t>Diontae</t>
  </si>
  <si>
    <t>DeVonta</t>
  </si>
  <si>
    <t>Jerome</t>
  </si>
  <si>
    <t>Reed</t>
  </si>
  <si>
    <t>Blankenship</t>
  </si>
  <si>
    <t>Maxx</t>
  </si>
  <si>
    <t>Crosby</t>
  </si>
  <si>
    <t>Talanoa</t>
  </si>
  <si>
    <t>Hufanga</t>
  </si>
  <si>
    <t>Matt</t>
  </si>
  <si>
    <t>Judon</t>
  </si>
  <si>
    <t>To'oTo'o</t>
  </si>
  <si>
    <t>Austin</t>
  </si>
  <si>
    <t>Ekeler</t>
  </si>
  <si>
    <t>Stefon</t>
  </si>
  <si>
    <t>Diggs</t>
  </si>
  <si>
    <t>Rashee</t>
  </si>
  <si>
    <t>Rice</t>
  </si>
  <si>
    <t>Jermaine</t>
  </si>
  <si>
    <t>II</t>
  </si>
  <si>
    <t>Herbert</t>
  </si>
  <si>
    <t>C.J.</t>
  </si>
  <si>
    <t>Stroud</t>
  </si>
  <si>
    <t>Ford</t>
  </si>
  <si>
    <t>Bucky</t>
  </si>
  <si>
    <t>Irving</t>
  </si>
  <si>
    <t>Nico</t>
  </si>
  <si>
    <t>Collins</t>
  </si>
  <si>
    <t>Tee</t>
  </si>
  <si>
    <t>Higgins</t>
  </si>
  <si>
    <t>Amon-Ra</t>
  </si>
  <si>
    <t>St.</t>
  </si>
  <si>
    <t>Tucker</t>
  </si>
  <si>
    <t>Jordyn</t>
  </si>
  <si>
    <t>Akeem</t>
  </si>
  <si>
    <t>Davis-Gaither</t>
  </si>
  <si>
    <t>Eric</t>
  </si>
  <si>
    <t>Kendricks</t>
  </si>
  <si>
    <t>Frankie</t>
  </si>
  <si>
    <t>Luvu</t>
  </si>
  <si>
    <t>Germaine</t>
  </si>
  <si>
    <t>Pratt</t>
  </si>
  <si>
    <t>Fred</t>
  </si>
  <si>
    <t>Warner</t>
  </si>
  <si>
    <t>Donovan</t>
  </si>
  <si>
    <t>Richardson</t>
  </si>
  <si>
    <t>Rachaad</t>
  </si>
  <si>
    <t>Calvin</t>
  </si>
  <si>
    <t>Ridley</t>
  </si>
  <si>
    <t>Jameson</t>
  </si>
  <si>
    <t>Worthy</t>
  </si>
  <si>
    <t>Camryn</t>
  </si>
  <si>
    <t>Bynum</t>
  </si>
  <si>
    <t>Tyrel</t>
  </si>
  <si>
    <t>Dodson</t>
  </si>
  <si>
    <t>Dre</t>
  </si>
  <si>
    <t>Greenlaw</t>
  </si>
  <si>
    <t>Damar</t>
  </si>
  <si>
    <t>Hamlin</t>
  </si>
  <si>
    <t>Long</t>
  </si>
  <si>
    <t>Milano</t>
  </si>
  <si>
    <t>Za'Darius</t>
  </si>
  <si>
    <t>Trevor</t>
  </si>
  <si>
    <t>Lawrence</t>
  </si>
  <si>
    <t>Ja'Whaun</t>
  </si>
  <si>
    <t>Bentley</t>
  </si>
  <si>
    <t>Troy</t>
  </si>
  <si>
    <t>Reeder</t>
  </si>
  <si>
    <t>Logan</t>
  </si>
  <si>
    <t>Burrow</t>
  </si>
  <si>
    <t>Matthew</t>
  </si>
  <si>
    <t>Stafford</t>
  </si>
  <si>
    <t>Rhamondre</t>
  </si>
  <si>
    <t>Stevenson</t>
  </si>
  <si>
    <t>London</t>
  </si>
  <si>
    <t>DJ</t>
  </si>
  <si>
    <t>Moore</t>
  </si>
  <si>
    <t>Cameron</t>
  </si>
  <si>
    <t>Dicker</t>
  </si>
  <si>
    <t>Branch</t>
  </si>
  <si>
    <t>Cross</t>
  </si>
  <si>
    <t>Demario</t>
  </si>
  <si>
    <t>Davis</t>
  </si>
  <si>
    <t>Myles</t>
  </si>
  <si>
    <t>Lake</t>
  </si>
  <si>
    <t>Queen</t>
  </si>
  <si>
    <t>Wagner</t>
  </si>
  <si>
    <t>Penix</t>
  </si>
  <si>
    <t>Braelon</t>
  </si>
  <si>
    <t>Bigsby</t>
  </si>
  <si>
    <t>Etienne</t>
  </si>
  <si>
    <t>Pickens</t>
  </si>
  <si>
    <t>Nik</t>
  </si>
  <si>
    <t>Bonitto</t>
  </si>
  <si>
    <t>Jamel</t>
  </si>
  <si>
    <t>Jartavius</t>
  </si>
  <si>
    <t>Martin</t>
  </si>
  <si>
    <t>Nubin</t>
  </si>
  <si>
    <t>Denzel</t>
  </si>
  <si>
    <t>Perryman</t>
  </si>
  <si>
    <t>Haason</t>
  </si>
  <si>
    <t>Reddick</t>
  </si>
  <si>
    <t>J.J.</t>
  </si>
  <si>
    <t>McCarthy</t>
  </si>
  <si>
    <t>J.K.</t>
  </si>
  <si>
    <t>Dobbins</t>
  </si>
  <si>
    <t>Anzalone</t>
  </si>
  <si>
    <t>Whitehead</t>
  </si>
  <si>
    <t>Date</t>
  </si>
  <si>
    <t>Break</t>
  </si>
  <si>
    <t>N/A</t>
  </si>
  <si>
    <t>Type</t>
  </si>
  <si>
    <t xml:space="preserve">  12/29/24 12:38 PM ET</t>
  </si>
  <si>
    <t>Marist</t>
  </si>
  <si>
    <t>Liufau</t>
  </si>
  <si>
    <t>LB</t>
  </si>
  <si>
    <t>-</t>
  </si>
  <si>
    <t>Dropped</t>
  </si>
  <si>
    <t xml:space="preserve">  12/29/24 3:16 AM ET</t>
  </si>
  <si>
    <t>WR</t>
  </si>
  <si>
    <t>Signed</t>
  </si>
  <si>
    <t xml:space="preserve">  12/28/24 9:09 AM ET</t>
  </si>
  <si>
    <t>Allgeier</t>
  </si>
  <si>
    <t xml:space="preserve">  12/28/24 1:45 AM ET</t>
  </si>
  <si>
    <t xml:space="preserve">  12/26/24 1:46 AM ET</t>
  </si>
  <si>
    <t>DB</t>
  </si>
  <si>
    <t xml:space="preserve">  12/25/24 10:52 AM ET</t>
  </si>
  <si>
    <t>Neville</t>
  </si>
  <si>
    <t>Hewitt</t>
  </si>
  <si>
    <t xml:space="preserve">  12/22/24 9:18 AM ET</t>
  </si>
  <si>
    <t xml:space="preserve">  12/22/24 7:15 AM ET</t>
  </si>
  <si>
    <t xml:space="preserve">  12/21/24 1:43 AM ET</t>
  </si>
  <si>
    <t xml:space="preserve">  12/19/24 9:56 AM ET</t>
  </si>
  <si>
    <t>Adam</t>
  </si>
  <si>
    <t>Thielen</t>
  </si>
  <si>
    <t xml:space="preserve">  12/19/24 8:51 AM ET</t>
  </si>
  <si>
    <t>De'Vondre</t>
  </si>
  <si>
    <t xml:space="preserve">  12/19/24 1:59 AM ET</t>
  </si>
  <si>
    <t>PenixJr.</t>
  </si>
  <si>
    <t xml:space="preserve">  12/15/24 12:04 PM ET</t>
  </si>
  <si>
    <t>Jeremy</t>
  </si>
  <si>
    <t>Chinn</t>
  </si>
  <si>
    <t>Isaiah</t>
  </si>
  <si>
    <t xml:space="preserve">  12/15/24 12:03 PM ET</t>
  </si>
  <si>
    <t xml:space="preserve">  12/15/24 11:08 AM ET</t>
  </si>
  <si>
    <t xml:space="preserve">  12/15/24 1:55 AM ET</t>
  </si>
  <si>
    <t xml:space="preserve">  12/14/24 1:43 AM ET</t>
  </si>
  <si>
    <t>McDuffie</t>
  </si>
  <si>
    <t xml:space="preserve">  12/12/24 11:50 AM ET</t>
  </si>
  <si>
    <t>Levis</t>
  </si>
  <si>
    <t xml:space="preserve">  12/12/24 1:59 AM ET</t>
  </si>
  <si>
    <t>Odafe</t>
  </si>
  <si>
    <t>Oweh</t>
  </si>
  <si>
    <t xml:space="preserve">  12/8/24 9:41 AM ET</t>
  </si>
  <si>
    <t>Greg</t>
  </si>
  <si>
    <t>Rousseau</t>
  </si>
  <si>
    <t>DL</t>
  </si>
  <si>
    <t xml:space="preserve">  12/8/24 8:26 AM ET</t>
  </si>
  <si>
    <t xml:space="preserve">  12/8/24 8:07 AM ET</t>
  </si>
  <si>
    <t>Reichard</t>
  </si>
  <si>
    <t xml:space="preserve">  12/8/24 1:57 AM ET</t>
  </si>
  <si>
    <t>Chad</t>
  </si>
  <si>
    <t>Ryland</t>
  </si>
  <si>
    <t>Wright</t>
  </si>
  <si>
    <t xml:space="preserve">  12/7/24 1:45 AM ET</t>
  </si>
  <si>
    <t>John</t>
  </si>
  <si>
    <t>Parker Romo</t>
  </si>
  <si>
    <t>Sincere</t>
  </si>
  <si>
    <t>McCormick</t>
  </si>
  <si>
    <t xml:space="preserve">  12/6/24 7:43 AM ET</t>
  </si>
  <si>
    <t xml:space="preserve">  12/5/24 5:56 PM ET</t>
  </si>
  <si>
    <t>Mason</t>
  </si>
  <si>
    <t xml:space="preserve">  12/5/24 5:55 PM ET</t>
  </si>
  <si>
    <t xml:space="preserve">  12/5/24 4:15 PM ET</t>
  </si>
  <si>
    <t>Rayshawn</t>
  </si>
  <si>
    <t>Jenkins</t>
  </si>
  <si>
    <t xml:space="preserve">  12/5/24 7:58 AM ET</t>
  </si>
  <si>
    <t>Raheem</t>
  </si>
  <si>
    <t>Mostert</t>
  </si>
  <si>
    <t>Wil</t>
  </si>
  <si>
    <t>Lutz</t>
  </si>
  <si>
    <t xml:space="preserve">  12/5/24 2:02 AM ET</t>
  </si>
  <si>
    <t>Brandin</t>
  </si>
  <si>
    <t>Cooks</t>
  </si>
  <si>
    <t>Evan</t>
  </si>
  <si>
    <t>McPherson</t>
  </si>
  <si>
    <t>McManus</t>
  </si>
  <si>
    <t>O'Connell</t>
  </si>
  <si>
    <t>Rush</t>
  </si>
  <si>
    <t>Mosley</t>
  </si>
  <si>
    <t xml:space="preserve">  12/4/24 7:00 PM ET</t>
  </si>
  <si>
    <t>McNichols</t>
  </si>
  <si>
    <t xml:space="preserve">  12/4/24 5:27 PM ET</t>
  </si>
  <si>
    <t>Malcolm</t>
  </si>
  <si>
    <t>Rodriguez</t>
  </si>
  <si>
    <t xml:space="preserve">  12/1/24 12:34 PM ET</t>
  </si>
  <si>
    <t xml:space="preserve">  12/1/24 9:52 AM ET</t>
  </si>
  <si>
    <t xml:space="preserve">  12/1/24 1:55 AM ET</t>
  </si>
  <si>
    <t>Taysom</t>
  </si>
  <si>
    <t xml:space="preserve">  11/30/24 8:25 PM ET</t>
  </si>
  <si>
    <t>Cade</t>
  </si>
  <si>
    <t>Otton</t>
  </si>
  <si>
    <t>TE</t>
  </si>
  <si>
    <t xml:space="preserve">  11/28/24 10:54 AM ET</t>
  </si>
  <si>
    <t xml:space="preserve">  11/28/24 9:05 AM ET</t>
  </si>
  <si>
    <t>Pitre</t>
  </si>
  <si>
    <t xml:space="preserve">  11/28/24 9:04 AM ET</t>
  </si>
  <si>
    <t xml:space="preserve">  11/28/24 5:03 AM ET</t>
  </si>
  <si>
    <t>Moody</t>
  </si>
  <si>
    <t xml:space="preserve">  11/28/24 1:57 AM ET</t>
  </si>
  <si>
    <t xml:space="preserve">  11/24/24 2:09 AM ET</t>
  </si>
  <si>
    <t>Metellus</t>
  </si>
  <si>
    <t xml:space="preserve">  11/24/24 2:07 AM ET</t>
  </si>
  <si>
    <t xml:space="preserve">  11/24/24 2:06 AM ET</t>
  </si>
  <si>
    <t>Andy</t>
  </si>
  <si>
    <t xml:space="preserve">  11/24/24 2:05 AM ET</t>
  </si>
  <si>
    <t xml:space="preserve">  11/24/24 1:54 AM ET</t>
  </si>
  <si>
    <t xml:space="preserve">  11/23/24 1:43 AM ET</t>
  </si>
  <si>
    <t xml:space="preserve">  11/21/24 5:12 PM ET</t>
  </si>
  <si>
    <t>Seibert</t>
  </si>
  <si>
    <t xml:space="preserve">  11/21/24 4:28 PM ET</t>
  </si>
  <si>
    <t>Engram</t>
  </si>
  <si>
    <t xml:space="preserve">  11/21/24 1:59 AM ET</t>
  </si>
  <si>
    <t>Ameer</t>
  </si>
  <si>
    <t>Abdullah</t>
  </si>
  <si>
    <t xml:space="preserve">  11/19/24 12:59 PM ET</t>
  </si>
  <si>
    <t>Gibbens</t>
  </si>
  <si>
    <t xml:space="preserve">  11/17/24 11:49 AM ET</t>
  </si>
  <si>
    <t xml:space="preserve">  11/17/24 11:09 AM ET</t>
  </si>
  <si>
    <t>Jamal</t>
  </si>
  <si>
    <t xml:space="preserve">  11/17/24 11:07 AM ET</t>
  </si>
  <si>
    <t xml:space="preserve">  11/17/24 11:05 AM ET</t>
  </si>
  <si>
    <t>Eddie</t>
  </si>
  <si>
    <t xml:space="preserve">  11/17/24 1:54 AM ET</t>
  </si>
  <si>
    <t xml:space="preserve">  11/16/24 1:43 AM ET</t>
  </si>
  <si>
    <t xml:space="preserve">  11/14/24 1:56 AM ET</t>
  </si>
  <si>
    <t>Omar</t>
  </si>
  <si>
    <t>Speights</t>
  </si>
  <si>
    <t>Benson</t>
  </si>
  <si>
    <t>Jahlani</t>
  </si>
  <si>
    <t>Tavai</t>
  </si>
  <si>
    <t>Audric</t>
  </si>
  <si>
    <t>Estime</t>
  </si>
  <si>
    <t xml:space="preserve">  11/10/24 9:33 AM ET</t>
  </si>
  <si>
    <t>Strnad</t>
  </si>
  <si>
    <t xml:space="preserve">  11/10/24 1:55 AM ET</t>
  </si>
  <si>
    <t>Demarcus</t>
  </si>
  <si>
    <t xml:space="preserve">  11/7/24 6:37 PM ET</t>
  </si>
  <si>
    <t>Keaton</t>
  </si>
  <si>
    <t>Mitchell</t>
  </si>
  <si>
    <t xml:space="preserve">  11/7/24 9:34 AM ET</t>
  </si>
  <si>
    <t>Payton</t>
  </si>
  <si>
    <t xml:space="preserve">  11/7/24 7:42 AM ET</t>
  </si>
  <si>
    <t>Mohamoud</t>
  </si>
  <si>
    <t>Diabate</t>
  </si>
  <si>
    <t xml:space="preserve">  11/7/24 6:54 AM ET</t>
  </si>
  <si>
    <t>Grupe</t>
  </si>
  <si>
    <t xml:space="preserve">  11/7/24 1:59 AM ET</t>
  </si>
  <si>
    <t>Ray</t>
  </si>
  <si>
    <t>Tillman</t>
  </si>
  <si>
    <t>Jaleel</t>
  </si>
  <si>
    <t xml:space="preserve">  11/3/24 10:07 AM ET</t>
  </si>
  <si>
    <t xml:space="preserve">  11/3/24 9:44 AM ET</t>
  </si>
  <si>
    <t>Bush</t>
  </si>
  <si>
    <t xml:space="preserve">  11/3/24 2:29 AM ET</t>
  </si>
  <si>
    <t xml:space="preserve">  11/2/24 1:40 AM ET</t>
  </si>
  <si>
    <t xml:space="preserve">  10/31/24 11:08 AM ET</t>
  </si>
  <si>
    <t xml:space="preserve">  10/31/24 9:26 AM ET</t>
  </si>
  <si>
    <t xml:space="preserve">  10/31/24 9:14 AM ET</t>
  </si>
  <si>
    <t>Chandler</t>
  </si>
  <si>
    <t xml:space="preserve">  10/31/24 6:26 AM ET</t>
  </si>
  <si>
    <t xml:space="preserve">  10/31/24 6:19 AM ET</t>
  </si>
  <si>
    <t>Gardner</t>
  </si>
  <si>
    <t>Minshew</t>
  </si>
  <si>
    <t xml:space="preserve">  10/31/24 1:59 AM ET</t>
  </si>
  <si>
    <t>Flacco</t>
  </si>
  <si>
    <t>Ventrell</t>
  </si>
  <si>
    <t>Downs</t>
  </si>
  <si>
    <t xml:space="preserve">  10/27/24 12:40 PM ET</t>
  </si>
  <si>
    <t xml:space="preserve">  10/27/24 11:49 AM ET</t>
  </si>
  <si>
    <t xml:space="preserve">  10/27/24 11:47 AM ET</t>
  </si>
  <si>
    <t>Fields</t>
  </si>
  <si>
    <t xml:space="preserve">  10/27/24 10:46 AM ET</t>
  </si>
  <si>
    <t>K.J.</t>
  </si>
  <si>
    <t>Britt</t>
  </si>
  <si>
    <t xml:space="preserve">  10/27/24 8:24 AM ET</t>
  </si>
  <si>
    <t xml:space="preserve">  10/27/24 2:54 AM ET</t>
  </si>
  <si>
    <t xml:space="preserve">  10/27/24 1:51 AM ET</t>
  </si>
  <si>
    <t>Dalvin</t>
  </si>
  <si>
    <t xml:space="preserve">  10/26/24 1:40 AM ET</t>
  </si>
  <si>
    <t xml:space="preserve">  10/25/24 4:54 PM ET</t>
  </si>
  <si>
    <t xml:space="preserve">  10/24/24 6:10 PM ET</t>
  </si>
  <si>
    <t>Mack</t>
  </si>
  <si>
    <t xml:space="preserve">  10/24/24 6:09 PM ET</t>
  </si>
  <si>
    <t>Tutu</t>
  </si>
  <si>
    <t>Atwell</t>
  </si>
  <si>
    <t xml:space="preserve">  10/24/24 1:58 AM ET</t>
  </si>
  <si>
    <t>Dexter</t>
  </si>
  <si>
    <t>Njoku</t>
  </si>
  <si>
    <t>Stuard</t>
  </si>
  <si>
    <t xml:space="preserve">  10/20/24 2:15 AM ET</t>
  </si>
  <si>
    <t xml:space="preserve">  10/20/24 2:13 AM ET</t>
  </si>
  <si>
    <t xml:space="preserve">  10/20/24 1:51 AM ET</t>
  </si>
  <si>
    <t>Eddy</t>
  </si>
  <si>
    <t>Pineiro</t>
  </si>
  <si>
    <t xml:space="preserve">  10/19/24 10:30 AM ET</t>
  </si>
  <si>
    <t xml:space="preserve">  10/19/24 1:38 AM ET</t>
  </si>
  <si>
    <t>Nate</t>
  </si>
  <si>
    <t>Landman</t>
  </si>
  <si>
    <t>Dameon</t>
  </si>
  <si>
    <t>Pierce</t>
  </si>
  <si>
    <t xml:space="preserve">  10/17/24 10:09 AM ET</t>
  </si>
  <si>
    <t xml:space="preserve">  10/17/24 10:07 AM ET</t>
  </si>
  <si>
    <t>Jaquan</t>
  </si>
  <si>
    <t>Brisker</t>
  </si>
  <si>
    <t xml:space="preserve">  10/17/24 8:24 AM ET</t>
  </si>
  <si>
    <t xml:space="preserve">  10/17/24 1:54 AM ET</t>
  </si>
  <si>
    <t>Spencer</t>
  </si>
  <si>
    <t>Rattler</t>
  </si>
  <si>
    <t>Krys</t>
  </si>
  <si>
    <t>Barnes</t>
  </si>
  <si>
    <t>Sean</t>
  </si>
  <si>
    <t xml:space="preserve">  10/15/24 9:25 AM ET</t>
  </si>
  <si>
    <t>Andrei</t>
  </si>
  <si>
    <t>Iosivas</t>
  </si>
  <si>
    <t xml:space="preserve">  10/13/24 8:35 AM ET</t>
  </si>
  <si>
    <t xml:space="preserve">  10/13/24 6:51 AM ET</t>
  </si>
  <si>
    <t>Tolbert</t>
  </si>
  <si>
    <t xml:space="preserve">  10/13/24 1:44 AM ET</t>
  </si>
  <si>
    <t xml:space="preserve">  10/12/24 1:34 AM ET</t>
  </si>
  <si>
    <t>Slayton</t>
  </si>
  <si>
    <t>Huff</t>
  </si>
  <si>
    <t xml:space="preserve">  10/11/24 4:08 PM ET</t>
  </si>
  <si>
    <t>Sermon</t>
  </si>
  <si>
    <t xml:space="preserve">  10/10/24 12:56 PM ET</t>
  </si>
  <si>
    <t>Emanuel</t>
  </si>
  <si>
    <t xml:space="preserve">  10/10/24 2:49 AM ET</t>
  </si>
  <si>
    <t xml:space="preserve">  10/10/24 1:51 AM ET</t>
  </si>
  <si>
    <t xml:space="preserve">  10/6/24 8:44 AM ET</t>
  </si>
  <si>
    <t>Divine</t>
  </si>
  <si>
    <t>Deablo</t>
  </si>
  <si>
    <t xml:space="preserve">  10/6/24 8:23 AM ET</t>
  </si>
  <si>
    <t xml:space="preserve">  10/6/24 1:58 AM ET</t>
  </si>
  <si>
    <t>Van Noy</t>
  </si>
  <si>
    <t xml:space="preserve">  10/5/24 1:34 AM ET</t>
  </si>
  <si>
    <t>Antonio</t>
  </si>
  <si>
    <t>Gibson</t>
  </si>
  <si>
    <t xml:space="preserve">  10/3/24 4:59 PM ET</t>
  </si>
  <si>
    <t xml:space="preserve">  10/3/24 1:52 AM ET</t>
  </si>
  <si>
    <t>Dontayvion</t>
  </si>
  <si>
    <t>Wicks</t>
  </si>
  <si>
    <t>Trevin</t>
  </si>
  <si>
    <t>Wallace</t>
  </si>
  <si>
    <t xml:space="preserve">  10/2/24 9:26 PM ET</t>
  </si>
  <si>
    <t>Carson</t>
  </si>
  <si>
    <t>Steele</t>
  </si>
  <si>
    <t xml:space="preserve">  9/29/24 12:54 PM ET</t>
  </si>
  <si>
    <t xml:space="preserve">  9/29/24 9:09 AM ET</t>
  </si>
  <si>
    <t xml:space="preserve">  9/28/24 1:33 AM ET</t>
  </si>
  <si>
    <t>Roschon</t>
  </si>
  <si>
    <t xml:space="preserve">  9/26/24 5:34 PM ET</t>
  </si>
  <si>
    <t xml:space="preserve">  9/26/24 11:05 AM ET</t>
  </si>
  <si>
    <t>Junior</t>
  </si>
  <si>
    <t>Colson</t>
  </si>
  <si>
    <t xml:space="preserve">  9/26/24 11:04 AM ET</t>
  </si>
  <si>
    <t>SirVocea</t>
  </si>
  <si>
    <t>Dennis</t>
  </si>
  <si>
    <t xml:space="preserve">  9/26/24 7:16 AM ET</t>
  </si>
  <si>
    <t xml:space="preserve">  9/26/24 7:15 AM ET</t>
  </si>
  <si>
    <t xml:space="preserve">  9/26/24 7:05 AM ET</t>
  </si>
  <si>
    <t xml:space="preserve">  9/26/24 7:04 AM ET</t>
  </si>
  <si>
    <t>Alec</t>
  </si>
  <si>
    <t xml:space="preserve">  9/26/24 1:49 AM ET</t>
  </si>
  <si>
    <t>Keion</t>
  </si>
  <si>
    <t xml:space="preserve">  9/21/24 1:33 AM ET</t>
  </si>
  <si>
    <t>Jones II</t>
  </si>
  <si>
    <t xml:space="preserve">  9/19/24 3:41 PM ET</t>
  </si>
  <si>
    <t xml:space="preserve">  9/19/24 3:40 PM ET</t>
  </si>
  <si>
    <t xml:space="preserve">  9/19/24 10:00 AM ET</t>
  </si>
  <si>
    <t xml:space="preserve">  9/19/24 5:29 AM ET</t>
  </si>
  <si>
    <t>Keisean</t>
  </si>
  <si>
    <t>Nixon</t>
  </si>
  <si>
    <t xml:space="preserve">  9/19/24 2:47 AM ET</t>
  </si>
  <si>
    <t xml:space="preserve">  9/19/24 1:51 AM ET</t>
  </si>
  <si>
    <t>Singletary</t>
  </si>
  <si>
    <t>Baylon</t>
  </si>
  <si>
    <t>Spector</t>
  </si>
  <si>
    <t>Deshaun</t>
  </si>
  <si>
    <t>Watson</t>
  </si>
  <si>
    <t xml:space="preserve">  9/15/24 9:35 AM ET</t>
  </si>
  <si>
    <t xml:space="preserve">  9/14/24 1:33 AM ET</t>
  </si>
  <si>
    <t xml:space="preserve">  9/12/24 2:20 PM ET</t>
  </si>
  <si>
    <t>Elandon</t>
  </si>
  <si>
    <t>Roberts</t>
  </si>
  <si>
    <t xml:space="preserve">  9/12/24 2:19 PM ET</t>
  </si>
  <si>
    <t xml:space="preserve">  9/12/24 10:09 AM ET</t>
  </si>
  <si>
    <t>Nicholas</t>
  </si>
  <si>
    <t>Morrow</t>
  </si>
  <si>
    <t xml:space="preserve">  9/12/24 9:05 AM ET</t>
  </si>
  <si>
    <t>Adonai</t>
  </si>
  <si>
    <t xml:space="preserve">  9/12/24 6:40 AM ET</t>
  </si>
  <si>
    <t>Corum</t>
  </si>
  <si>
    <t xml:space="preserve">  9/12/24 6:38 AM ET</t>
  </si>
  <si>
    <t xml:space="preserve">  9/12/24 5:02 AM ET</t>
  </si>
  <si>
    <t>Chuck</t>
  </si>
  <si>
    <t>Clark</t>
  </si>
  <si>
    <t xml:space="preserve">  9/12/24 4:59 AM ET</t>
  </si>
  <si>
    <t xml:space="preserve">  9/12/24 1:45 AM ET</t>
  </si>
  <si>
    <t>VanGinkel</t>
  </si>
  <si>
    <t xml:space="preserve">  9/8/24 10:30 AM ET</t>
  </si>
  <si>
    <t>Palmer</t>
  </si>
  <si>
    <t xml:space="preserve">  9/7/24 9:17 AM ET</t>
  </si>
  <si>
    <t xml:space="preserve">  9/7/24 9:15 AM ET</t>
  </si>
  <si>
    <t>Damone</t>
  </si>
  <si>
    <t xml:space="preserve">  9/7/24 2:43 AM ET</t>
  </si>
  <si>
    <t>Bradley</t>
  </si>
  <si>
    <t xml:space="preserve">  8/5/24 4:45 PM ET</t>
  </si>
  <si>
    <t>Donald</t>
  </si>
  <si>
    <t xml:space="preserve">  8/1/24 12:05 PM ET</t>
  </si>
  <si>
    <t xml:space="preserve">  7/20/24 6:54 PM ET</t>
  </si>
  <si>
    <t>Khaleke</t>
  </si>
  <si>
    <t>Hudson</t>
  </si>
  <si>
    <t>Ferguson</t>
  </si>
  <si>
    <t xml:space="preserve">  7/20/24 6:53 PM ET</t>
  </si>
  <si>
    <t>Ezekiel</t>
  </si>
  <si>
    <t xml:space="preserve">  7/20/24 6:52 PM ET</t>
  </si>
  <si>
    <t>Jarrett</t>
  </si>
  <si>
    <t>Stidham</t>
  </si>
  <si>
    <t xml:space="preserve">  5/8/24 1:42 PM ET</t>
  </si>
  <si>
    <t>red = Transaction performed by commissioner</t>
  </si>
  <si>
    <t>Rnd/Pk</t>
  </si>
  <si>
    <t>Player</t>
  </si>
  <si>
    <t>Elapsed Time</t>
  </si>
  <si>
    <t>Rank</t>
  </si>
  <si>
    <t>Total Fpts</t>
  </si>
  <si>
    <t>Active Fpts</t>
  </si>
  <si>
    <t>2024Round</t>
  </si>
  <si>
    <t>2025Round</t>
  </si>
  <si>
    <t>Column6</t>
  </si>
  <si>
    <t xml:space="preserve"> 1/1</t>
  </si>
  <si>
    <t>Jared Goff QB | DET  (Keeper)</t>
  </si>
  <si>
    <t>#8 QB</t>
  </si>
  <si>
    <t>(Keeper)</t>
  </si>
  <si>
    <t xml:space="preserve"> 2/1</t>
  </si>
  <si>
    <t>Marvin Harrison Jr. WR | ARI</t>
  </si>
  <si>
    <t>8 min 19 sec</t>
  </si>
  <si>
    <t>#32 WR</t>
  </si>
  <si>
    <t xml:space="preserve"> 3/1</t>
  </si>
  <si>
    <t>Derrick Henry RB | BAL  (Keeper)</t>
  </si>
  <si>
    <t>0 sec</t>
  </si>
  <si>
    <t>#2 RB</t>
  </si>
  <si>
    <t xml:space="preserve"> 4/1</t>
  </si>
  <si>
    <t>Travis Kelce TE | KC  (Keeper)</t>
  </si>
  <si>
    <t>#5 TE</t>
  </si>
  <si>
    <t xml:space="preserve"> 5/1</t>
  </si>
  <si>
    <t>Aaron Jones RB | MIN (Keeper)</t>
  </si>
  <si>
    <t>#16 RB</t>
  </si>
  <si>
    <t xml:space="preserve"> 6/1</t>
  </si>
  <si>
    <t>Drue Tranquill LB | KC  (Keeper)</t>
  </si>
  <si>
    <t>#34 LB</t>
  </si>
  <si>
    <t xml:space="preserve"> 7/1</t>
  </si>
  <si>
    <t>Deebo Samuel WR | SF  (Keeper)</t>
  </si>
  <si>
    <t>#46 WR</t>
  </si>
  <si>
    <t xml:space="preserve"> 8/1</t>
  </si>
  <si>
    <t>Jaylen Waddle WR | MIA (Keeper)</t>
  </si>
  <si>
    <t>#49 WR</t>
  </si>
  <si>
    <t xml:space="preserve"> 9/1</t>
  </si>
  <si>
    <t>Eddie Jackson DB | LAC (Keeper)</t>
  </si>
  <si>
    <t>#225 DB</t>
  </si>
  <si>
    <t xml:space="preserve"> 10/1</t>
  </si>
  <si>
    <t>Tony Pollard RB | TEN</t>
  </si>
  <si>
    <t>10 hrs 45 min 33 sec</t>
  </si>
  <si>
    <t>#21 RB</t>
  </si>
  <si>
    <t xml:space="preserve"> 11/1</t>
  </si>
  <si>
    <t>Lavonte David LB | TB  (Keeper)</t>
  </si>
  <si>
    <t>1 sec</t>
  </si>
  <si>
    <t>#6 LB</t>
  </si>
  <si>
    <t xml:space="preserve"> 12/1</t>
  </si>
  <si>
    <t>Antoine Winfield Jr. DB | TB  (Keeper)</t>
  </si>
  <si>
    <t>#120 DB</t>
  </si>
  <si>
    <t xml:space="preserve"> 13/1</t>
  </si>
  <si>
    <t>Tyler Lockett WR | SEA  (Keeper)</t>
  </si>
  <si>
    <t>#64 WR</t>
  </si>
  <si>
    <t xml:space="preserve"> 14/1</t>
  </si>
  <si>
    <t>Baker Mayfield QB | TB (Keeper)</t>
  </si>
  <si>
    <t>#5 QB</t>
  </si>
  <si>
    <t xml:space="preserve"> 15/1</t>
  </si>
  <si>
    <t>Aaron Rodgers QB | NYJ  (Keeper)</t>
  </si>
  <si>
    <t>#14 QB</t>
  </si>
  <si>
    <t xml:space="preserve"> 16/1</t>
  </si>
  <si>
    <t>Kamren Curl DB | LAR  (Keeper)</t>
  </si>
  <si>
    <t>#59 DB</t>
  </si>
  <si>
    <t xml:space="preserve"> 17/1</t>
  </si>
  <si>
    <t>Rayshawn Jenkins DB | SEA  (Keeper)</t>
  </si>
  <si>
    <t>#143 DB</t>
  </si>
  <si>
    <t xml:space="preserve"> 18/1</t>
  </si>
  <si>
    <t>Harrison Butker K | KC  (Keeper)</t>
  </si>
  <si>
    <t>#24 K</t>
  </si>
  <si>
    <t xml:space="preserve"> 19/1</t>
  </si>
  <si>
    <t>Khalil Herbert RB | CIN (Keeper)</t>
  </si>
  <si>
    <t>#89 RB</t>
  </si>
  <si>
    <t xml:space="preserve"> 20/1</t>
  </si>
  <si>
    <t>T.J. Hockenson TE | MIN (Keeper)</t>
  </si>
  <si>
    <t>#31 TE</t>
  </si>
  <si>
    <t xml:space="preserve"> 21/1</t>
  </si>
  <si>
    <t>Kwity Paye DL | IND (Keeper)</t>
  </si>
  <si>
    <t>#32 DL</t>
  </si>
  <si>
    <t xml:space="preserve"> 22/1</t>
  </si>
  <si>
    <t>Joey Bosa DL | LAC  (Keeper)</t>
  </si>
  <si>
    <t>#77 DL</t>
  </si>
  <si>
    <t xml:space="preserve"> 23/1</t>
  </si>
  <si>
    <t>Jamal Adams DB | DET (Keeper)</t>
  </si>
  <si>
    <t>#328 DB</t>
  </si>
  <si>
    <t xml:space="preserve"> 24/1</t>
  </si>
  <si>
    <t xml:space="preserve">Justin Reid DB | KC </t>
  </si>
  <si>
    <t>11 hrs 1 min 16 sec</t>
  </si>
  <si>
    <t>#20 DB</t>
  </si>
  <si>
    <t xml:space="preserve"> 25/1</t>
  </si>
  <si>
    <t>Courtland Sutton WR | DEN (Keeper)</t>
  </si>
  <si>
    <t>#10 WR</t>
  </si>
  <si>
    <t xml:space="preserve"> 26/1</t>
  </si>
  <si>
    <t>Jalen Thompson DB | ARI</t>
  </si>
  <si>
    <t>1 min 3 sec</t>
  </si>
  <si>
    <t>#65 DB</t>
  </si>
  <si>
    <t xml:space="preserve"> 27/1</t>
  </si>
  <si>
    <t>Jake Moody K | SF</t>
  </si>
  <si>
    <t>6 min 15 sec (22 hrs 2 min 27 sec)</t>
  </si>
  <si>
    <t>#26 K</t>
  </si>
  <si>
    <t xml:space="preserve"> 1/2</t>
  </si>
  <si>
    <t xml:space="preserve">Caleb Williams QB | CHI </t>
  </si>
  <si>
    <t>17 min 47 sec</t>
  </si>
  <si>
    <t>#15 QB</t>
  </si>
  <si>
    <t xml:space="preserve"> 2/2</t>
  </si>
  <si>
    <t>Saquon Barkley RB | PHI  (Keeper)</t>
  </si>
  <si>
    <t>#1 RB</t>
  </si>
  <si>
    <t xml:space="preserve"> 3/2</t>
  </si>
  <si>
    <t xml:space="preserve">Reed Blankenship DB | PHI </t>
  </si>
  <si>
    <t>20 sec</t>
  </si>
  <si>
    <t>#18 DB</t>
  </si>
  <si>
    <t xml:space="preserve"> 4/2</t>
  </si>
  <si>
    <t>Tremaine Edmunds LB | CHI</t>
  </si>
  <si>
    <t>1 min 25 sec</t>
  </si>
  <si>
    <t>#46 LB</t>
  </si>
  <si>
    <t xml:space="preserve"> 5/2</t>
  </si>
  <si>
    <t xml:space="preserve">James Conner RB | ARI </t>
  </si>
  <si>
    <t>5 min 31 sec</t>
  </si>
  <si>
    <t>#13 RB</t>
  </si>
  <si>
    <t xml:space="preserve"> 6/2</t>
  </si>
  <si>
    <t>Josh Hines-Allen LB | JAC</t>
  </si>
  <si>
    <t>39 sec</t>
  </si>
  <si>
    <t>#68 LB</t>
  </si>
  <si>
    <t xml:space="preserve"> 7/2</t>
  </si>
  <si>
    <t>Jonathan Taylor RB | IND (Keeper)</t>
  </si>
  <si>
    <t>#10 RB</t>
  </si>
  <si>
    <t xml:space="preserve"> 8/2</t>
  </si>
  <si>
    <t>DeVonta Smith WR | PHI  (Keeper)</t>
  </si>
  <si>
    <t>#16 WR</t>
  </si>
  <si>
    <t xml:space="preserve"> 9/2</t>
  </si>
  <si>
    <t>Maxx Crosby DL | LV  (Keeper)</t>
  </si>
  <si>
    <t>#23 DL</t>
  </si>
  <si>
    <t xml:space="preserve"> 10/2</t>
  </si>
  <si>
    <t xml:space="preserve">Stefon Diggs WR | HOU </t>
  </si>
  <si>
    <t>5 min 1 sec</t>
  </si>
  <si>
    <t>#72 WR</t>
  </si>
  <si>
    <t xml:space="preserve"> 11/2</t>
  </si>
  <si>
    <t>Will Anderson Jr. DL | HOU  (Keeper)</t>
  </si>
  <si>
    <t>#5 DL</t>
  </si>
  <si>
    <t xml:space="preserve"> 12/2</t>
  </si>
  <si>
    <t xml:space="preserve">Rashee Rice WR | KC </t>
  </si>
  <si>
    <t>29 min 3 sec</t>
  </si>
  <si>
    <t>#111 WR</t>
  </si>
  <si>
    <t xml:space="preserve"> 13/2</t>
  </si>
  <si>
    <t xml:space="preserve">Tank Dell WR | HOU </t>
  </si>
  <si>
    <t>16 min 34 sec</t>
  </si>
  <si>
    <t>#52 WR</t>
  </si>
  <si>
    <t xml:space="preserve"> 14/2</t>
  </si>
  <si>
    <t xml:space="preserve">Nakobe Dean LB | PHI </t>
  </si>
  <si>
    <t>1 min 7 sec</t>
  </si>
  <si>
    <t>#14 LB</t>
  </si>
  <si>
    <t xml:space="preserve"> 15/2</t>
  </si>
  <si>
    <t xml:space="preserve">Jerome Baker LB | TEN </t>
  </si>
  <si>
    <t>10 min 22 sec</t>
  </si>
  <si>
    <t>#91 LB</t>
  </si>
  <si>
    <t xml:space="preserve"> 16/2</t>
  </si>
  <si>
    <t xml:space="preserve">Dorian Williams LB | BUF </t>
  </si>
  <si>
    <t>4 min 20 sec</t>
  </si>
  <si>
    <t>#38 LB</t>
  </si>
  <si>
    <t xml:space="preserve"> 17/2</t>
  </si>
  <si>
    <t>Diontae Johnson WR | BAL (Keeper)</t>
  </si>
  <si>
    <t>#89 WR</t>
  </si>
  <si>
    <t xml:space="preserve"> 18/2</t>
  </si>
  <si>
    <t>Jermaine Johnson II DL | NYJ  (Keeper)</t>
  </si>
  <si>
    <t>#283 DL</t>
  </si>
  <si>
    <t xml:space="preserve"> 19/2</t>
  </si>
  <si>
    <t xml:space="preserve">Talanoa Hufanga DB | SF </t>
  </si>
  <si>
    <t>46 min 45 sec</t>
  </si>
  <si>
    <t>#212 DB</t>
  </si>
  <si>
    <t xml:space="preserve"> 20/2</t>
  </si>
  <si>
    <t>Jaxon Smith-Njigba WR | SEA (Keeper)</t>
  </si>
  <si>
    <t>#15 WR</t>
  </si>
  <si>
    <t xml:space="preserve"> 21/2</t>
  </si>
  <si>
    <t>Will McDonald IV DL | NYJ (Keeper)</t>
  </si>
  <si>
    <t>#33 DL</t>
  </si>
  <si>
    <t xml:space="preserve"> 22/2</t>
  </si>
  <si>
    <t xml:space="preserve">Brandon Aubrey K | DAL </t>
  </si>
  <si>
    <t>#1 K</t>
  </si>
  <si>
    <t xml:space="preserve"> 23/2</t>
  </si>
  <si>
    <t xml:space="preserve">Sam Darnold QB | MIN </t>
  </si>
  <si>
    <t>#10 QB</t>
  </si>
  <si>
    <t xml:space="preserve"> 24/2</t>
  </si>
  <si>
    <t>Drake Maye QB | NE</t>
  </si>
  <si>
    <t>#24 QB</t>
  </si>
  <si>
    <t xml:space="preserve"> 25/2</t>
  </si>
  <si>
    <t>Matt Judon LB | ATL (Keeper)</t>
  </si>
  <si>
    <t>#76 LB</t>
  </si>
  <si>
    <t xml:space="preserve"> 26/2</t>
  </si>
  <si>
    <t>Jalen Carter DL | PHI  (Keeper)</t>
  </si>
  <si>
    <t>#22 DL</t>
  </si>
  <si>
    <t>Carter</t>
  </si>
  <si>
    <t xml:space="preserve"> 27/2</t>
  </si>
  <si>
    <t>Mike Evans WR | TB (Keeper)</t>
  </si>
  <si>
    <t>0 sec (2 hrs 18 min 54 sec)</t>
  </si>
  <si>
    <t>#11 WR</t>
  </si>
  <si>
    <t xml:space="preserve"> 1/3</t>
  </si>
  <si>
    <t>Patrick Mahomes QB | KC  (Keeper)</t>
  </si>
  <si>
    <t>#7 QB</t>
  </si>
  <si>
    <t xml:space="preserve"> 2/3</t>
  </si>
  <si>
    <t xml:space="preserve">Kirk Cousins QB | ATL </t>
  </si>
  <si>
    <t>26 sec</t>
  </si>
  <si>
    <t>#23 QB</t>
  </si>
  <si>
    <t xml:space="preserve"> 3/3</t>
  </si>
  <si>
    <t>Roquan Smith LB | BAL  (Keeper)</t>
  </si>
  <si>
    <t>#11 LB</t>
  </si>
  <si>
    <t xml:space="preserve"> 4/3</t>
  </si>
  <si>
    <t xml:space="preserve">Derwin James DB | LAC </t>
  </si>
  <si>
    <t>4 sec</t>
  </si>
  <si>
    <t>#13 DB</t>
  </si>
  <si>
    <t xml:space="preserve"> 5/3</t>
  </si>
  <si>
    <t>Garrett Wilson WR | NYJ (Keeper)</t>
  </si>
  <si>
    <t>#13 WR</t>
  </si>
  <si>
    <t xml:space="preserve"> 6/3</t>
  </si>
  <si>
    <t xml:space="preserve">Aidan Hutchinson DL | DET </t>
  </si>
  <si>
    <t>19 sec</t>
  </si>
  <si>
    <t>#79 DL</t>
  </si>
  <si>
    <t xml:space="preserve"> 7/3</t>
  </si>
  <si>
    <t xml:space="preserve">Camryn Bynum DB | MIN </t>
  </si>
  <si>
    <t>#33 DB</t>
  </si>
  <si>
    <t xml:space="preserve"> 8/3</t>
  </si>
  <si>
    <t xml:space="preserve">Sam LaPorta TE | DET </t>
  </si>
  <si>
    <t>11 sec</t>
  </si>
  <si>
    <t>#8 TE</t>
  </si>
  <si>
    <t xml:space="preserve"> 9/3</t>
  </si>
  <si>
    <t>Kenneth Walker III RB | SEA  (Keeper)</t>
  </si>
  <si>
    <t>#30 RB</t>
  </si>
  <si>
    <t xml:space="preserve"> 10/3</t>
  </si>
  <si>
    <t>De'Vondre Campbell LB | SF  (Keeper)</t>
  </si>
  <si>
    <t>#84 LB</t>
  </si>
  <si>
    <t xml:space="preserve"> 11/3</t>
  </si>
  <si>
    <t>Quincy Williams LB | NYJ (Keeper)</t>
  </si>
  <si>
    <t>#25 LB</t>
  </si>
  <si>
    <t xml:space="preserve"> 12/3</t>
  </si>
  <si>
    <t xml:space="preserve">Blake Cashman LB | MIN </t>
  </si>
  <si>
    <t>18 min 21 sec</t>
  </si>
  <si>
    <t>#20 LB</t>
  </si>
  <si>
    <t xml:space="preserve"> 13/3</t>
  </si>
  <si>
    <t xml:space="preserve">Jonathon Brooks RB | CAR </t>
  </si>
  <si>
    <t>1 min 2 sec</t>
  </si>
  <si>
    <t>#115 RB</t>
  </si>
  <si>
    <t xml:space="preserve"> 14/3</t>
  </si>
  <si>
    <t>Bryce Young QB | CAR</t>
  </si>
  <si>
    <t>2 min 36 sec</t>
  </si>
  <si>
    <t>#20 QB</t>
  </si>
  <si>
    <t xml:space="preserve"> 15/3</t>
  </si>
  <si>
    <t>Kyren Williams RB | LAR  (Keeper)</t>
  </si>
  <si>
    <t>#7 RB</t>
  </si>
  <si>
    <t xml:space="preserve"> 16/3</t>
  </si>
  <si>
    <t>Julian Love DB | SEA (Keeper)</t>
  </si>
  <si>
    <t>#10 DB</t>
  </si>
  <si>
    <t xml:space="preserve"> 17/3</t>
  </si>
  <si>
    <t>Zay Flowers WR | BAL  (Keeper)</t>
  </si>
  <si>
    <t>#30 WR</t>
  </si>
  <si>
    <t xml:space="preserve"> 18/3</t>
  </si>
  <si>
    <t>David Montgomery RB | DET (Keeper)</t>
  </si>
  <si>
    <t>#17 RB</t>
  </si>
  <si>
    <t xml:space="preserve"> 19/3</t>
  </si>
  <si>
    <t xml:space="preserve">Josey Jewell LB | CAR </t>
  </si>
  <si>
    <t>39 min 32 sec</t>
  </si>
  <si>
    <t>#41 LB</t>
  </si>
  <si>
    <t xml:space="preserve"> 20/3</t>
  </si>
  <si>
    <t xml:space="preserve">Josh Metellus DB | MIN </t>
  </si>
  <si>
    <t>7 min 53 sec</t>
  </si>
  <si>
    <t>#34 DB</t>
  </si>
  <si>
    <t xml:space="preserve"> 21/3</t>
  </si>
  <si>
    <t xml:space="preserve">Brian Thomas Jr. WR | JAC </t>
  </si>
  <si>
    <t>1 hrs 20 min 24 sec</t>
  </si>
  <si>
    <t>#5 WR</t>
  </si>
  <si>
    <t xml:space="preserve"> 22/3</t>
  </si>
  <si>
    <t>Nicholas Morrow LB | PHI</t>
  </si>
  <si>
    <t>2 hrs 46 min 59 sec</t>
  </si>
  <si>
    <t>#254 LB</t>
  </si>
  <si>
    <t xml:space="preserve"> 23/3</t>
  </si>
  <si>
    <t>De'Von Achane RB | MIA (Keeper)</t>
  </si>
  <si>
    <t>#9 RB</t>
  </si>
  <si>
    <t xml:space="preserve"> 24/3</t>
  </si>
  <si>
    <t>Jamin Davis LB | NYJ</t>
  </si>
  <si>
    <t>12 min 44 sec</t>
  </si>
  <si>
    <t>#160 LB</t>
  </si>
  <si>
    <t>Jamin</t>
  </si>
  <si>
    <t xml:space="preserve"> 25/3</t>
  </si>
  <si>
    <t>Michael Pittman WR | IND  (Keeper)</t>
  </si>
  <si>
    <t>#42 WR</t>
  </si>
  <si>
    <t xml:space="preserve"> 26/3</t>
  </si>
  <si>
    <t>Kyle Pitts TE | ATL</t>
  </si>
  <si>
    <t>8 min 4 sec</t>
  </si>
  <si>
    <t>#19 TE</t>
  </si>
  <si>
    <t>Pitts</t>
  </si>
  <si>
    <t xml:space="preserve"> 27/3</t>
  </si>
  <si>
    <t xml:space="preserve">Evan McPherson K | CIN </t>
  </si>
  <si>
    <t>1 min 50 sec (5 hrs 40 min 45 sec)</t>
  </si>
  <si>
    <t>#29 K</t>
  </si>
  <si>
    <t xml:space="preserve"> 1/4</t>
  </si>
  <si>
    <t xml:space="preserve">Trevor Lawrence QB | JAC </t>
  </si>
  <si>
    <t>47 sec</t>
  </si>
  <si>
    <t>#28 QB</t>
  </si>
  <si>
    <t xml:space="preserve"> 2/4</t>
  </si>
  <si>
    <t>Justin Herbert QB | LAC</t>
  </si>
  <si>
    <t>2 min 32 sec</t>
  </si>
  <si>
    <t>#12 QB</t>
  </si>
  <si>
    <t xml:space="preserve"> 3/4</t>
  </si>
  <si>
    <t>Devin White LB | HOU  (Keeper)</t>
  </si>
  <si>
    <t>#170 LB</t>
  </si>
  <si>
    <t xml:space="preserve"> 4/4</t>
  </si>
  <si>
    <t>Fred Warner LB | SF (Keeper)</t>
  </si>
  <si>
    <t>#18 LB</t>
  </si>
  <si>
    <t xml:space="preserve"> 5/4</t>
  </si>
  <si>
    <t>Jordyn Brooks LB | MIA  (Keeper)</t>
  </si>
  <si>
    <t>#13 LB</t>
  </si>
  <si>
    <t xml:space="preserve"> 6/4</t>
  </si>
  <si>
    <t>Logan Wilson LB | CIN  (Keeper)</t>
  </si>
  <si>
    <t>#58 LB</t>
  </si>
  <si>
    <t xml:space="preserve"> 7/4</t>
  </si>
  <si>
    <t>Amon-Ra St. Brown WR | DET (Keeper)</t>
  </si>
  <si>
    <t>#2 WR</t>
  </si>
  <si>
    <t xml:space="preserve"> 8/4</t>
  </si>
  <si>
    <t>Frankie Luvu LB | WAS  (Keeper)</t>
  </si>
  <si>
    <t>#8 LB</t>
  </si>
  <si>
    <t xml:space="preserve"> 9/4</t>
  </si>
  <si>
    <t>Eric Kendricks LB | DAL (Keeper)</t>
  </si>
  <si>
    <t>#19 LB</t>
  </si>
  <si>
    <t xml:space="preserve"> 10/4</t>
  </si>
  <si>
    <t>Tee Higgins WR | CIN  (Keeper)</t>
  </si>
  <si>
    <t>#25 WR</t>
  </si>
  <si>
    <t xml:space="preserve"> 11/4</t>
  </si>
  <si>
    <t>Javonte Williams RB | DEN (Keeper)</t>
  </si>
  <si>
    <t>#31 RB</t>
  </si>
  <si>
    <t>Javonte</t>
  </si>
  <si>
    <t xml:space="preserve"> 12/4</t>
  </si>
  <si>
    <t>Troy Andersen LB | ATL  (Keeper)</t>
  </si>
  <si>
    <t>#105 LB</t>
  </si>
  <si>
    <t>Andersen</t>
  </si>
  <si>
    <t xml:space="preserve"> 13/4</t>
  </si>
  <si>
    <t xml:space="preserve">Zack Moss RB | CIN </t>
  </si>
  <si>
    <t>45 min 11 sec</t>
  </si>
  <si>
    <t>#51 RB</t>
  </si>
  <si>
    <t>Moss</t>
  </si>
  <si>
    <t xml:space="preserve"> 14/4</t>
  </si>
  <si>
    <t>C.J. Stroud QB | HOU  (Keeper)</t>
  </si>
  <si>
    <t>#18 QB</t>
  </si>
  <si>
    <t xml:space="preserve"> 15/4</t>
  </si>
  <si>
    <t>Rachaad White RB | TB (Keeper)</t>
  </si>
  <si>
    <t>#25 RB</t>
  </si>
  <si>
    <t xml:space="preserve"> 16/4</t>
  </si>
  <si>
    <t>Jerry Jeudy WR | CLE (Keeper)</t>
  </si>
  <si>
    <t>#20 WR</t>
  </si>
  <si>
    <t xml:space="preserve"> 17/4</t>
  </si>
  <si>
    <t xml:space="preserve">Xavier Worthy WR | KC </t>
  </si>
  <si>
    <t>4 min 46 sec</t>
  </si>
  <si>
    <t>#8 WR</t>
  </si>
  <si>
    <t xml:space="preserve"> 18/4</t>
  </si>
  <si>
    <t>Justin Tucker K | BAL (Keeper)</t>
  </si>
  <si>
    <t>#11 K</t>
  </si>
  <si>
    <t xml:space="preserve"> 19/4</t>
  </si>
  <si>
    <t>Tyrel Dodson LB | MIA</t>
  </si>
  <si>
    <t>2 hrs 23 min 27 sec</t>
  </si>
  <si>
    <t>#29 LB</t>
  </si>
  <si>
    <t xml:space="preserve"> 20/4</t>
  </si>
  <si>
    <t xml:space="preserve">Junior Colson LB | LAC </t>
  </si>
  <si>
    <t>10 hrs 49 min 20 sec</t>
  </si>
  <si>
    <t>#141 LB</t>
  </si>
  <si>
    <t xml:space="preserve"> 21/4</t>
  </si>
  <si>
    <t>Bucky Irving RB | TB</t>
  </si>
  <si>
    <t>1 hrs 46 min 55 sec</t>
  </si>
  <si>
    <t>#11 RB</t>
  </si>
  <si>
    <t xml:space="preserve"> 22/4</t>
  </si>
  <si>
    <t xml:space="preserve">Ja'Whaun Bentley LB | NE </t>
  </si>
  <si>
    <t>27 min 34 sec</t>
  </si>
  <si>
    <t>#198 LB</t>
  </si>
  <si>
    <t xml:space="preserve"> 23/4</t>
  </si>
  <si>
    <t xml:space="preserve">Dre Greenlaw LB | SF </t>
  </si>
  <si>
    <t>4 min 22 sec</t>
  </si>
  <si>
    <t>#230 LB</t>
  </si>
  <si>
    <t xml:space="preserve"> 24/4</t>
  </si>
  <si>
    <t xml:space="preserve">David Long LB | DET </t>
  </si>
  <si>
    <t>44 min 51 sec</t>
  </si>
  <si>
    <t>#114 LB</t>
  </si>
  <si>
    <t xml:space="preserve"> 25/4</t>
  </si>
  <si>
    <t xml:space="preserve">Jameson Williams WR | DET </t>
  </si>
  <si>
    <t>8 min 28 sec</t>
  </si>
  <si>
    <t>#21 WR</t>
  </si>
  <si>
    <t xml:space="preserve"> 26/4</t>
  </si>
  <si>
    <t>Germaine Pratt LB | CIN  (Keeper)</t>
  </si>
  <si>
    <t>#17 LB</t>
  </si>
  <si>
    <t xml:space="preserve"> 27/4</t>
  </si>
  <si>
    <t>Nico Collins WR | HOU  (Keeper)</t>
  </si>
  <si>
    <t>0 sec (17 hrs 18 min 13 sec)</t>
  </si>
  <si>
    <t>#18 WR</t>
  </si>
  <si>
    <t xml:space="preserve"> 1/5</t>
  </si>
  <si>
    <t xml:space="preserve">Jayden Daniels QB | WAS </t>
  </si>
  <si>
    <t>#3 QB</t>
  </si>
  <si>
    <t xml:space="preserve"> 2/5</t>
  </si>
  <si>
    <t>Justin Jefferson WR | MIN (Keeper)</t>
  </si>
  <si>
    <t>#4 WR</t>
  </si>
  <si>
    <t xml:space="preserve"> 3/5</t>
  </si>
  <si>
    <t>Ja'Marr Chase WR | CIN (Keeper)</t>
  </si>
  <si>
    <t>#1 WR</t>
  </si>
  <si>
    <t xml:space="preserve"> 4/5</t>
  </si>
  <si>
    <t>Geno Smith QB | SEA  (Keeper)</t>
  </si>
  <si>
    <t>#13 QB</t>
  </si>
  <si>
    <t xml:space="preserve"> 5/5</t>
  </si>
  <si>
    <t>Bobby Okereke LB | NYG  (Keeper)</t>
  </si>
  <si>
    <t>#54 LB</t>
  </si>
  <si>
    <t xml:space="preserve"> 6/5</t>
  </si>
  <si>
    <t xml:space="preserve">Kenneth Murray LB | TEN </t>
  </si>
  <si>
    <t>2 min 18 sec</t>
  </si>
  <si>
    <t>#42 LB</t>
  </si>
  <si>
    <t xml:space="preserve"> 7/5</t>
  </si>
  <si>
    <t>Ernest Jones LB | SEA  (Keeper)</t>
  </si>
  <si>
    <t>#26 LB</t>
  </si>
  <si>
    <t xml:space="preserve"> 8/5</t>
  </si>
  <si>
    <t>Jahmyr Gibbs RB | DET  (Keeper)</t>
  </si>
  <si>
    <t>#3 RB</t>
  </si>
  <si>
    <t xml:space="preserve"> 9/5</t>
  </si>
  <si>
    <t>Joe Mixon RB | HOU (Keeper)</t>
  </si>
  <si>
    <t>#8 RB</t>
  </si>
  <si>
    <t xml:space="preserve"> 10/5</t>
  </si>
  <si>
    <t>Azeez Al-Shaair LB | HOU  (Keeper)</t>
  </si>
  <si>
    <t>#59 LB</t>
  </si>
  <si>
    <t xml:space="preserve"> 11/5</t>
  </si>
  <si>
    <t>DK Metcalf WR | SEA  (Keeper)</t>
  </si>
  <si>
    <t>#36 WR</t>
  </si>
  <si>
    <t xml:space="preserve"> 12/5</t>
  </si>
  <si>
    <t>Kyzir White LB | ARI (Keeper)</t>
  </si>
  <si>
    <t>#27 LB</t>
  </si>
  <si>
    <t xml:space="preserve"> 13/5</t>
  </si>
  <si>
    <t>Will Levis QB | TEN</t>
  </si>
  <si>
    <t>46 min 26 sec</t>
  </si>
  <si>
    <t>#30 QB</t>
  </si>
  <si>
    <t xml:space="preserve"> 14/5</t>
  </si>
  <si>
    <t>Shaq Green-Thompson LB | CAR  (Keeper)</t>
  </si>
  <si>
    <t>#137 LB</t>
  </si>
  <si>
    <t xml:space="preserve"> 15/5</t>
  </si>
  <si>
    <t>Puka Nacua WR | LAR  (Keeper)</t>
  </si>
  <si>
    <t>#27 WR</t>
  </si>
  <si>
    <t xml:space="preserve"> 16/5</t>
  </si>
  <si>
    <t>Chris Godwin WR | TB  (Keeper)</t>
  </si>
  <si>
    <t>#63 WR</t>
  </si>
  <si>
    <t xml:space="preserve"> 17/5</t>
  </si>
  <si>
    <t>D'Andre Swift RB | CHI  (Keeper)</t>
  </si>
  <si>
    <t>#20 RB</t>
  </si>
  <si>
    <t xml:space="preserve"> 18/5</t>
  </si>
  <si>
    <t>Kaden Elliss LB | ATL (Keeper)</t>
  </si>
  <si>
    <t>#4 LB</t>
  </si>
  <si>
    <t xml:space="preserve"> 19/5</t>
  </si>
  <si>
    <t xml:space="preserve">K.J. Britt LB | TB </t>
  </si>
  <si>
    <t>5 min 52 sec</t>
  </si>
  <si>
    <t>#85 LB</t>
  </si>
  <si>
    <t xml:space="preserve"> 20/5</t>
  </si>
  <si>
    <t>Kyle Hamilton DB | BAL  (Keeper)</t>
  </si>
  <si>
    <t>#9 DB</t>
  </si>
  <si>
    <t xml:space="preserve"> 21/5</t>
  </si>
  <si>
    <t xml:space="preserve">Trey Benson RB | ARI </t>
  </si>
  <si>
    <t>19 min 35 sec</t>
  </si>
  <si>
    <t>#67 RB</t>
  </si>
  <si>
    <t xml:space="preserve"> 22/5</t>
  </si>
  <si>
    <t>Jaylen Warren RB | PIT  (Keeper)</t>
  </si>
  <si>
    <t>#40 RB</t>
  </si>
  <si>
    <t xml:space="preserve"> 23/5</t>
  </si>
  <si>
    <t>Trey McBride TE | ARI</t>
  </si>
  <si>
    <t>6 min 26 sec</t>
  </si>
  <si>
    <t>#2 TE</t>
  </si>
  <si>
    <t xml:space="preserve"> 24/5</t>
  </si>
  <si>
    <t xml:space="preserve">Isaiah McDuffie LB | GB </t>
  </si>
  <si>
    <t>37 min 42 sec</t>
  </si>
  <si>
    <t>#60 LB</t>
  </si>
  <si>
    <t xml:space="preserve"> 25/5</t>
  </si>
  <si>
    <t xml:space="preserve">Chuba Hubbard RB | CAR </t>
  </si>
  <si>
    <t>1 hrs 3 min 5 sec</t>
  </si>
  <si>
    <t>#12 RB</t>
  </si>
  <si>
    <t xml:space="preserve"> 26/5</t>
  </si>
  <si>
    <t xml:space="preserve">Ka'imi Fairbairn K | HOU </t>
  </si>
  <si>
    <t>11 min 53 sec</t>
  </si>
  <si>
    <t>#3 K</t>
  </si>
  <si>
    <t xml:space="preserve"> 27/5</t>
  </si>
  <si>
    <t xml:space="preserve">Micah McFadden LB | NYG </t>
  </si>
  <si>
    <t>10 min 56 sec (3 hrs 24 min 32 sec)</t>
  </si>
  <si>
    <t>#45 LB</t>
  </si>
  <si>
    <t xml:space="preserve"> 1/6</t>
  </si>
  <si>
    <t>Josh Allen QB | BUF  (Keeper)</t>
  </si>
  <si>
    <t>#2 QB</t>
  </si>
  <si>
    <t xml:space="preserve"> 2/6</t>
  </si>
  <si>
    <t>Bijan Robinson RB | ATL (Keeper)</t>
  </si>
  <si>
    <t>#4 RB</t>
  </si>
  <si>
    <t xml:space="preserve"> 3/6</t>
  </si>
  <si>
    <t>Nick Bolton LB | KC  (Keeper)</t>
  </si>
  <si>
    <t>#12 LB</t>
  </si>
  <si>
    <t xml:space="preserve"> 4/6</t>
  </si>
  <si>
    <t>Malik Nabers WR | NYG</t>
  </si>
  <si>
    <t>30 sec</t>
  </si>
  <si>
    <t>#9 WR</t>
  </si>
  <si>
    <t xml:space="preserve"> 5/6</t>
  </si>
  <si>
    <t>Nick Bosa DL | SF (Keeper)</t>
  </si>
  <si>
    <t>#16 DL</t>
  </si>
  <si>
    <t xml:space="preserve"> 6/6</t>
  </si>
  <si>
    <t xml:space="preserve">E.J. Speed LB | IND </t>
  </si>
  <si>
    <t>#16 LB</t>
  </si>
  <si>
    <t xml:space="preserve"> 7/6</t>
  </si>
  <si>
    <t>T.J. Edwards LB | CHI (Keeper)</t>
  </si>
  <si>
    <t>#15 LB</t>
  </si>
  <si>
    <t xml:space="preserve"> 8/6</t>
  </si>
  <si>
    <t>Calvin Ridley WR | TEN (Keeper)</t>
  </si>
  <si>
    <t>#33 WR</t>
  </si>
  <si>
    <t xml:space="preserve"> 9/6</t>
  </si>
  <si>
    <t>Jordan Addison WR | MIN</t>
  </si>
  <si>
    <t>21 sec</t>
  </si>
  <si>
    <t>#23 WR</t>
  </si>
  <si>
    <t xml:space="preserve"> 10/6</t>
  </si>
  <si>
    <t>Rome Odunze WR | CHI</t>
  </si>
  <si>
    <t>10 min 25 sec</t>
  </si>
  <si>
    <t>#48 WR</t>
  </si>
  <si>
    <t xml:space="preserve"> 11/6</t>
  </si>
  <si>
    <t>Devin Lloyd LB | JAC (Keeper)</t>
  </si>
  <si>
    <t>#37 LB</t>
  </si>
  <si>
    <t xml:space="preserve"> 12/6</t>
  </si>
  <si>
    <t>Jordan Love QB | GB (Keeper)</t>
  </si>
  <si>
    <t>#19 QB</t>
  </si>
  <si>
    <t xml:space="preserve"> 13/6</t>
  </si>
  <si>
    <t xml:space="preserve">Keon Coleman WR | BUF </t>
  </si>
  <si>
    <t>10 min 34 sec</t>
  </si>
  <si>
    <t>#73 WR</t>
  </si>
  <si>
    <t xml:space="preserve"> 14/6</t>
  </si>
  <si>
    <t xml:space="preserve">Denzel Perryman LB | LAC </t>
  </si>
  <si>
    <t>17 sec</t>
  </si>
  <si>
    <t>#100 LB</t>
  </si>
  <si>
    <t xml:space="preserve"> 15/6</t>
  </si>
  <si>
    <t>James Cook RB | BUF  (Keeper)</t>
  </si>
  <si>
    <t>#5 RB</t>
  </si>
  <si>
    <t xml:space="preserve"> 16/6</t>
  </si>
  <si>
    <t xml:space="preserve">MarShawn Lloyd RB | GB </t>
  </si>
  <si>
    <t>36 sec</t>
  </si>
  <si>
    <t>#127 RB</t>
  </si>
  <si>
    <t xml:space="preserve"> 17/6</t>
  </si>
  <si>
    <t>Kyler Murray QB | ARI (Keeper)</t>
  </si>
  <si>
    <t>#11 QB</t>
  </si>
  <si>
    <t xml:space="preserve"> 18/6</t>
  </si>
  <si>
    <t>Brandon Aiyuk WR | SF  (Keeper)</t>
  </si>
  <si>
    <t>#109 WR</t>
  </si>
  <si>
    <t xml:space="preserve"> 19/6</t>
  </si>
  <si>
    <t>Danielle Hunter DL | HOU  (Keeper)</t>
  </si>
  <si>
    <t>#10 DL</t>
  </si>
  <si>
    <t xml:space="preserve"> 20/6</t>
  </si>
  <si>
    <t>Robert Spillane LB | LV  (Keeper)</t>
  </si>
  <si>
    <t>#3 LB</t>
  </si>
  <si>
    <t xml:space="preserve"> 21/6</t>
  </si>
  <si>
    <t xml:space="preserve">Dallas Turner LB | MIN </t>
  </si>
  <si>
    <t>48 min 5 sec</t>
  </si>
  <si>
    <t>#124 LB</t>
  </si>
  <si>
    <t xml:space="preserve"> 22/6</t>
  </si>
  <si>
    <t>Terrel Bernard LB | BUF  (Keeper)</t>
  </si>
  <si>
    <t>#30 LB</t>
  </si>
  <si>
    <t xml:space="preserve"> 23/6</t>
  </si>
  <si>
    <t xml:space="preserve">Payton Wilson LB | PIT </t>
  </si>
  <si>
    <t>8 sec</t>
  </si>
  <si>
    <t>#55 LB</t>
  </si>
  <si>
    <t xml:space="preserve"> 24/6</t>
  </si>
  <si>
    <t>Tyjae Spears RB | TEN  (Keeper)</t>
  </si>
  <si>
    <t>#44 RB</t>
  </si>
  <si>
    <t xml:space="preserve"> 25/6</t>
  </si>
  <si>
    <t>Jaleel McLaughlin RB | DEN</t>
  </si>
  <si>
    <t>#50 RB</t>
  </si>
  <si>
    <t xml:space="preserve"> 26/6</t>
  </si>
  <si>
    <t>Jason Myers K | SEA</t>
  </si>
  <si>
    <t>#13 K</t>
  </si>
  <si>
    <t xml:space="preserve"> 27/6</t>
  </si>
  <si>
    <t>Ivan Pace Jr. LB | MIN  (Keeper)</t>
  </si>
  <si>
    <t>0 sec (1 hrs 11 min 30 sec)</t>
  </si>
  <si>
    <t>#52 LB</t>
  </si>
  <si>
    <t xml:space="preserve"> 1/7</t>
  </si>
  <si>
    <t>Josh Jacobs RB | GB</t>
  </si>
  <si>
    <t>6 min 16 sec</t>
  </si>
  <si>
    <t>#6 RB</t>
  </si>
  <si>
    <t xml:space="preserve"> 2/7</t>
  </si>
  <si>
    <t>Christian McCaffrey RB | SF  (Keeper)</t>
  </si>
  <si>
    <t>#72 RB</t>
  </si>
  <si>
    <t xml:space="preserve"> 3/7</t>
  </si>
  <si>
    <t xml:space="preserve">Davante Adams WR | NYJ </t>
  </si>
  <si>
    <t>2 min 25 sec</t>
  </si>
  <si>
    <t>#19 WR</t>
  </si>
  <si>
    <t xml:space="preserve"> 4/7</t>
  </si>
  <si>
    <t>Dak Prescott QB | DAL  (Keeper)</t>
  </si>
  <si>
    <t>#31 QB</t>
  </si>
  <si>
    <t xml:space="preserve"> 5/7</t>
  </si>
  <si>
    <t xml:space="preserve">Zamir White RB | LV </t>
  </si>
  <si>
    <t>3 min 0 sec</t>
  </si>
  <si>
    <t>#80 RB</t>
  </si>
  <si>
    <t>Zamir</t>
  </si>
  <si>
    <t xml:space="preserve"> 6/7</t>
  </si>
  <si>
    <t xml:space="preserve">Derek Carr QB | NO </t>
  </si>
  <si>
    <t>7 min 36 sec</t>
  </si>
  <si>
    <t>#25 QB</t>
  </si>
  <si>
    <t xml:space="preserve"> 7/7</t>
  </si>
  <si>
    <t>Kayvon Thibodeaux LB | NYG</t>
  </si>
  <si>
    <t>1 min 11 sec</t>
  </si>
  <si>
    <t>#104 LB</t>
  </si>
  <si>
    <t xml:space="preserve"> 8/7</t>
  </si>
  <si>
    <t>Alex Singleton LB | DEN  (Keeper)</t>
  </si>
  <si>
    <t>#133 LB</t>
  </si>
  <si>
    <t xml:space="preserve"> 9/7</t>
  </si>
  <si>
    <t xml:space="preserve">Amani Hooker DB | TEN </t>
  </si>
  <si>
    <t>53 min 36 sec</t>
  </si>
  <si>
    <t>#42 DB</t>
  </si>
  <si>
    <t xml:space="preserve"> 10/7</t>
  </si>
  <si>
    <t xml:space="preserve">Xavier McKinney DB | GB </t>
  </si>
  <si>
    <t>7 min 17 sec</t>
  </si>
  <si>
    <t>#6 DB</t>
  </si>
  <si>
    <t xml:space="preserve"> 11/7</t>
  </si>
  <si>
    <t>Amari Cooper WR | BUF  (Keeper)</t>
  </si>
  <si>
    <t>#57 WR</t>
  </si>
  <si>
    <t xml:space="preserve"> 12/7</t>
  </si>
  <si>
    <t>Brock Purdy QB | SF  (Keeper)</t>
  </si>
  <si>
    <t>#17 QB</t>
  </si>
  <si>
    <t xml:space="preserve"> 13/7</t>
  </si>
  <si>
    <t xml:space="preserve">Christian Watson WR | GB </t>
  </si>
  <si>
    <t>57 min 16 sec</t>
  </si>
  <si>
    <t>#82 WR</t>
  </si>
  <si>
    <t xml:space="preserve"> 14/7</t>
  </si>
  <si>
    <t>Christian Kirk WR | JAC  (Keeper)</t>
  </si>
  <si>
    <t>#105 WR</t>
  </si>
  <si>
    <t xml:space="preserve"> 15/7</t>
  </si>
  <si>
    <t>Jessie Bates III DB | ATL (Keeper)</t>
  </si>
  <si>
    <t>#14 DB</t>
  </si>
  <si>
    <t xml:space="preserve"> 16/7</t>
  </si>
  <si>
    <t xml:space="preserve">Nick Chubb RB | CLE </t>
  </si>
  <si>
    <t>13 min 54 sec</t>
  </si>
  <si>
    <t>#55 RB</t>
  </si>
  <si>
    <t xml:space="preserve"> 17/7</t>
  </si>
  <si>
    <t>Terry McLaurin WR | WAS  (Keeper)</t>
  </si>
  <si>
    <t>#3 WR</t>
  </si>
  <si>
    <t xml:space="preserve"> 18/7</t>
  </si>
  <si>
    <t>Devon Witherspoon DB | SEA</t>
  </si>
  <si>
    <t>35 min 32 sec</t>
  </si>
  <si>
    <t>#38 DB</t>
  </si>
  <si>
    <t xml:space="preserve"> 19/7</t>
  </si>
  <si>
    <t xml:space="preserve">Rico Dowdle RB | DAL </t>
  </si>
  <si>
    <t>3 min 34 sec</t>
  </si>
  <si>
    <t>#22 RB</t>
  </si>
  <si>
    <t xml:space="preserve"> 20/7</t>
  </si>
  <si>
    <t xml:space="preserve">DeAndre Hopkins WR | KC </t>
  </si>
  <si>
    <t>3 hrs 27 min 14 sec</t>
  </si>
  <si>
    <t>#43 WR</t>
  </si>
  <si>
    <t xml:space="preserve"> 21/7</t>
  </si>
  <si>
    <t xml:space="preserve">Nate Landman LB | ATL </t>
  </si>
  <si>
    <t>15 min 7 sec</t>
  </si>
  <si>
    <t>#92 LB</t>
  </si>
  <si>
    <t xml:space="preserve"> 22/7</t>
  </si>
  <si>
    <t>Grant Delpit DB | CLE (Keeper)</t>
  </si>
  <si>
    <t>#36 DB</t>
  </si>
  <si>
    <t xml:space="preserve"> 23/7</t>
  </si>
  <si>
    <t xml:space="preserve">Nnamdi Madubuike DL | BAL </t>
  </si>
  <si>
    <t>10 min 33 sec</t>
  </si>
  <si>
    <t>#21 DL</t>
  </si>
  <si>
    <t>Nnamdi</t>
  </si>
  <si>
    <t>Madubuike</t>
  </si>
  <si>
    <t xml:space="preserve"> 24/7</t>
  </si>
  <si>
    <t xml:space="preserve">Daxton Hill DB | CIN </t>
  </si>
  <si>
    <t>1 hrs 14 min 49 sec</t>
  </si>
  <si>
    <t>#213 DB</t>
  </si>
  <si>
    <t xml:space="preserve"> 25/7</t>
  </si>
  <si>
    <t xml:space="preserve">Romeo Doubs WR | GB </t>
  </si>
  <si>
    <t>52 min 38 sec</t>
  </si>
  <si>
    <t>#56 WR</t>
  </si>
  <si>
    <t xml:space="preserve"> 26/7</t>
  </si>
  <si>
    <t>Jake Elliott K | PHI</t>
  </si>
  <si>
    <t>37 min 2 sec</t>
  </si>
  <si>
    <t>#5 K</t>
  </si>
  <si>
    <t xml:space="preserve"> 27/7</t>
  </si>
  <si>
    <t xml:space="preserve">Andrei Iosivas WR | CIN </t>
  </si>
  <si>
    <t>5 min 8 sec (9 hrs 54 min 9 sec)</t>
  </si>
  <si>
    <t>#65 WR</t>
  </si>
  <si>
    <t xml:space="preserve"> 1/8</t>
  </si>
  <si>
    <t>Joe Burrow QB | CIN  (Keeper)</t>
  </si>
  <si>
    <t>#4 QB</t>
  </si>
  <si>
    <t xml:space="preserve"> 2/8</t>
  </si>
  <si>
    <t>Anthony Richardson QB | IND  (Keeper)</t>
  </si>
  <si>
    <t>#26 QB</t>
  </si>
  <si>
    <t xml:space="preserve"> 3/8</t>
  </si>
  <si>
    <t>Myles Garrett DL | CLE  (Keeper)</t>
  </si>
  <si>
    <t>#2 DL</t>
  </si>
  <si>
    <t xml:space="preserve"> 4/8</t>
  </si>
  <si>
    <t>Bobby Wagner LB | WAS  (Keeper)</t>
  </si>
  <si>
    <t>#9 LB</t>
  </si>
  <si>
    <t xml:space="preserve"> 5/8</t>
  </si>
  <si>
    <t>Rhamondre Stevenson RB | NE (Keeper)</t>
  </si>
  <si>
    <t>#28 RB</t>
  </si>
  <si>
    <t xml:space="preserve"> 6/8</t>
  </si>
  <si>
    <t>Patrick Queen LB | PIT  (Keeper)</t>
  </si>
  <si>
    <t>#28 LB</t>
  </si>
  <si>
    <t xml:space="preserve"> 7/8</t>
  </si>
  <si>
    <t>DJ Moore WR | CHI (Keeper)</t>
  </si>
  <si>
    <t>#17 WR</t>
  </si>
  <si>
    <t xml:space="preserve"> 8/8</t>
  </si>
  <si>
    <t>Travis Etienne RB | JAC (Keeper)</t>
  </si>
  <si>
    <t>#39 RB</t>
  </si>
  <si>
    <t xml:space="preserve"> 9/8</t>
  </si>
  <si>
    <t>Jaquan Brisker DB | CHI  (Keeper)</t>
  </si>
  <si>
    <t>#174 DB</t>
  </si>
  <si>
    <t xml:space="preserve"> 10/8</t>
  </si>
  <si>
    <t>Drake London WR | ATL (Keeper)</t>
  </si>
  <si>
    <t>#6 WR</t>
  </si>
  <si>
    <t xml:space="preserve"> 11/8</t>
  </si>
  <si>
    <t>George Pickens WR | PIT  (Keeper)</t>
  </si>
  <si>
    <t>#39 WR</t>
  </si>
  <si>
    <t xml:space="preserve"> 12/8</t>
  </si>
  <si>
    <t xml:space="preserve">Jayden Reed WR | GB </t>
  </si>
  <si>
    <t>17 min 41 sec</t>
  </si>
  <si>
    <t>#29 WR</t>
  </si>
  <si>
    <t xml:space="preserve"> 13/8</t>
  </si>
  <si>
    <t>J.K. Dobbins RB | LAC (Keeper)</t>
  </si>
  <si>
    <t>#23 RB</t>
  </si>
  <si>
    <t xml:space="preserve"> 14/8</t>
  </si>
  <si>
    <t>Demario Davis LB | NO (Keeper)</t>
  </si>
  <si>
    <t>#24 LB</t>
  </si>
  <si>
    <t xml:space="preserve"> 15/8</t>
  </si>
  <si>
    <t>Matthew Stafford QB | LAR  (Keeper)</t>
  </si>
  <si>
    <t>#16 QB</t>
  </si>
  <si>
    <t xml:space="preserve"> 16/8</t>
  </si>
  <si>
    <t xml:space="preserve">Chase Brown RB | CIN </t>
  </si>
  <si>
    <t>20 min 46 sec</t>
  </si>
  <si>
    <t>#14 RB</t>
  </si>
  <si>
    <t xml:space="preserve"> 17/8</t>
  </si>
  <si>
    <t>Alex Anzalone LB | DET  (Keeper)</t>
  </si>
  <si>
    <t>#61 LB</t>
  </si>
  <si>
    <t xml:space="preserve"> 18/8</t>
  </si>
  <si>
    <t xml:space="preserve">Chuck Clark DB | NYJ </t>
  </si>
  <si>
    <t>1 hrs 24 min 32 sec</t>
  </si>
  <si>
    <t>#135 DB</t>
  </si>
  <si>
    <t xml:space="preserve"> 19/8</t>
  </si>
  <si>
    <t>Jevon Holland DB | MIA  (Keeper)</t>
  </si>
  <si>
    <t>#129 DB</t>
  </si>
  <si>
    <t>Jevon</t>
  </si>
  <si>
    <t>Holland</t>
  </si>
  <si>
    <t xml:space="preserve"> 20/8</t>
  </si>
  <si>
    <t xml:space="preserve">J.J. McCarthy QB | MIN </t>
  </si>
  <si>
    <t>15 min 54 sec</t>
  </si>
  <si>
    <t xml:space="preserve"> QB</t>
  </si>
  <si>
    <t xml:space="preserve"> 21/8</t>
  </si>
  <si>
    <t xml:space="preserve">Mike Williams WR | PIT </t>
  </si>
  <si>
    <t>23 min 4 sec</t>
  </si>
  <si>
    <t>#106 WR</t>
  </si>
  <si>
    <t xml:space="preserve"> 22/8</t>
  </si>
  <si>
    <t>Roschon Johnson RB | CHI (Keeper)</t>
  </si>
  <si>
    <t>#53 RB</t>
  </si>
  <si>
    <t xml:space="preserve"> 23/8</t>
  </si>
  <si>
    <t>Braelon Allen RB | NYJ</t>
  </si>
  <si>
    <t>49 sec</t>
  </si>
  <si>
    <t>#52 RB</t>
  </si>
  <si>
    <t xml:space="preserve"> 24/8</t>
  </si>
  <si>
    <t>Jordan Whitehead DB | TB  (Keeper)</t>
  </si>
  <si>
    <t>#114 DB</t>
  </si>
  <si>
    <t xml:space="preserve"> 25/8</t>
  </si>
  <si>
    <t>Brian Branch DB | DET  (Keeper)</t>
  </si>
  <si>
    <t>#1 DB</t>
  </si>
  <si>
    <t xml:space="preserve"> 26/8</t>
  </si>
  <si>
    <t>Haason Reddick LB | NYJ</t>
  </si>
  <si>
    <t>59 min 35 sec</t>
  </si>
  <si>
    <t>#169 LB</t>
  </si>
  <si>
    <t xml:space="preserve"> 27/8</t>
  </si>
  <si>
    <t xml:space="preserve">Greg Zuerlein K | NYJ </t>
  </si>
  <si>
    <t>6 min 35 sec (3 hrs 48 min 58 sec)</t>
  </si>
  <si>
    <t>#40 K</t>
  </si>
  <si>
    <t>Zuerlein</t>
  </si>
  <si>
    <t xml:space="preserve"> 1/9</t>
  </si>
  <si>
    <t>Jalen Hurts QB | PHI  (Keeper)</t>
  </si>
  <si>
    <t>#6 QB</t>
  </si>
  <si>
    <t xml:space="preserve"> 2/9</t>
  </si>
  <si>
    <t xml:space="preserve">Cooper Kupp WR | LAR </t>
  </si>
  <si>
    <t>2 min 27 sec</t>
  </si>
  <si>
    <t>#38 WR</t>
  </si>
  <si>
    <t xml:space="preserve"> 3/9</t>
  </si>
  <si>
    <t>Foye Oluokun LB | JAC (Keeper)</t>
  </si>
  <si>
    <t>#44 LB</t>
  </si>
  <si>
    <t xml:space="preserve"> 4/9</t>
  </si>
  <si>
    <t>A.J. Brown WR | PHI  (Keeper)</t>
  </si>
  <si>
    <t>#12 WR</t>
  </si>
  <si>
    <t xml:space="preserve"> 5/9</t>
  </si>
  <si>
    <t>Micah Parsons LB | DAL (Keeper)</t>
  </si>
  <si>
    <t>#51 LB</t>
  </si>
  <si>
    <t xml:space="preserve"> 6/9</t>
  </si>
  <si>
    <t>Quay Walker LB | GB  (Keeper)</t>
  </si>
  <si>
    <t>#32 LB</t>
  </si>
  <si>
    <t xml:space="preserve"> 7/9</t>
  </si>
  <si>
    <t>Chris Olave WR | NO  (Keeper)</t>
  </si>
  <si>
    <t>#99 WR</t>
  </si>
  <si>
    <t xml:space="preserve"> 8/9</t>
  </si>
  <si>
    <t>Breece Hall RB | NYJ (Keeper)</t>
  </si>
  <si>
    <t>#18 RB</t>
  </si>
  <si>
    <t xml:space="preserve"> 9/9</t>
  </si>
  <si>
    <t>Jeremiah Owusu-Koramoah LB | CLE  (Keeper)</t>
  </si>
  <si>
    <t>#64 LB</t>
  </si>
  <si>
    <t xml:space="preserve"> 10/9</t>
  </si>
  <si>
    <t xml:space="preserve">Jack Campbell LB | DET </t>
  </si>
  <si>
    <t>9 min 27 sec</t>
  </si>
  <si>
    <t>#23 LB</t>
  </si>
  <si>
    <t xml:space="preserve"> 11/9</t>
  </si>
  <si>
    <t>Christian Harris LB | HOU  (Keeper)</t>
  </si>
  <si>
    <t>#152 LB</t>
  </si>
  <si>
    <t xml:space="preserve"> 12/9</t>
  </si>
  <si>
    <t xml:space="preserve">Cody Barton LB | DEN </t>
  </si>
  <si>
    <t>21 min 44 sec</t>
  </si>
  <si>
    <t>#36 LB</t>
  </si>
  <si>
    <t xml:space="preserve"> 13/9</t>
  </si>
  <si>
    <t>Keenan Allen WR | CHI (Keeper)</t>
  </si>
  <si>
    <t>#35 WR</t>
  </si>
  <si>
    <t xml:space="preserve"> 14/9</t>
  </si>
  <si>
    <t>Isiah Pacheco RB | KC  (Keeper)</t>
  </si>
  <si>
    <t>#61 RB</t>
  </si>
  <si>
    <t xml:space="preserve"> 15/9</t>
  </si>
  <si>
    <t>Deshaun Watson QB | CLE  (Keeper)</t>
  </si>
  <si>
    <t>#39 QB</t>
  </si>
  <si>
    <t xml:space="preserve"> 16/9</t>
  </si>
  <si>
    <t xml:space="preserve">Dalton Kincaid TE | BUF </t>
  </si>
  <si>
    <t>27 min 12 sec</t>
  </si>
  <si>
    <t>#21 TE</t>
  </si>
  <si>
    <t xml:space="preserve"> 17/9</t>
  </si>
  <si>
    <t xml:space="preserve">Trenton Simpson LB | BAL </t>
  </si>
  <si>
    <t>16 min 45 sec</t>
  </si>
  <si>
    <t>#81 LB</t>
  </si>
  <si>
    <t xml:space="preserve"> 18/9</t>
  </si>
  <si>
    <t>Brian Robinson Jr. RB | WAS  (Keeper)</t>
  </si>
  <si>
    <t>#24 RB</t>
  </si>
  <si>
    <t xml:space="preserve"> 19/9</t>
  </si>
  <si>
    <t xml:space="preserve">Younghoe Koo K | ATL </t>
  </si>
  <si>
    <t>24 min 59 sec</t>
  </si>
  <si>
    <t>#21 K</t>
  </si>
  <si>
    <t xml:space="preserve"> 20/9</t>
  </si>
  <si>
    <t>Divine Deablo LB | LV</t>
  </si>
  <si>
    <t>18 min 4 sec</t>
  </si>
  <si>
    <t>#94 LB</t>
  </si>
  <si>
    <t xml:space="preserve"> 21/9</t>
  </si>
  <si>
    <t>Kendre Miller RB | NO  (Keeper)</t>
  </si>
  <si>
    <t>#85 RB</t>
  </si>
  <si>
    <t xml:space="preserve"> 22/9</t>
  </si>
  <si>
    <t xml:space="preserve">Bo Nix QB | DEN </t>
  </si>
  <si>
    <t>3 min 21 sec</t>
  </si>
  <si>
    <t>#9 QB</t>
  </si>
  <si>
    <t xml:space="preserve"> 23/9</t>
  </si>
  <si>
    <t>Brock Bowers TE | LV</t>
  </si>
  <si>
    <t>4 min 25 sec</t>
  </si>
  <si>
    <t>#1 TE</t>
  </si>
  <si>
    <t xml:space="preserve"> 24/9</t>
  </si>
  <si>
    <t>Daiyan Henley LB | LAC  (Keeper)</t>
  </si>
  <si>
    <t>#10 LB</t>
  </si>
  <si>
    <t xml:space="preserve"> 25/9</t>
  </si>
  <si>
    <t>Tyrone Tracy Jr. RB | NYG</t>
  </si>
  <si>
    <t>1 hrs 50 min 21 sec</t>
  </si>
  <si>
    <t>#27 RB</t>
  </si>
  <si>
    <t xml:space="preserve"> 26/9</t>
  </si>
  <si>
    <t xml:space="preserve">Odafe Oweh LB | BAL </t>
  </si>
  <si>
    <t>2 min 12 sec</t>
  </si>
  <si>
    <t>#56 LB</t>
  </si>
  <si>
    <t xml:space="preserve"> 27/9</t>
  </si>
  <si>
    <t xml:space="preserve">Khalil Shakir WR | BUF </t>
  </si>
  <si>
    <t>23 min 53 sec (4 hrs 24 min 50 sec)</t>
  </si>
  <si>
    <t>#22 WR</t>
  </si>
  <si>
    <t xml:space="preserve"> 1/10</t>
  </si>
  <si>
    <t>Lamar Jackson QB | BAL  (Keeper)</t>
  </si>
  <si>
    <t>#1 QB</t>
  </si>
  <si>
    <t xml:space="preserve"> 2/10</t>
  </si>
  <si>
    <t xml:space="preserve">C.J. Mosley LB | NYJ </t>
  </si>
  <si>
    <t>33 sec</t>
  </si>
  <si>
    <t>#178 LB</t>
  </si>
  <si>
    <t xml:space="preserve"> 3/10</t>
  </si>
  <si>
    <t>T.J. Watt LB | PIT  (Keeper)</t>
  </si>
  <si>
    <t>#31 LB</t>
  </si>
  <si>
    <t xml:space="preserve"> 4/10</t>
  </si>
  <si>
    <t>Tyreek Hill WR | MIA  (Keeper)</t>
  </si>
  <si>
    <t>#24 WR</t>
  </si>
  <si>
    <t xml:space="preserve"> 5/10</t>
  </si>
  <si>
    <t>Zaire Franklin LB | IND  (Keeper)</t>
  </si>
  <si>
    <t>#2 LB</t>
  </si>
  <si>
    <t xml:space="preserve"> 6/10</t>
  </si>
  <si>
    <t>CeeDee Lamb WR | DAL  (Keeper)</t>
  </si>
  <si>
    <t>#14 WR</t>
  </si>
  <si>
    <t xml:space="preserve"> 7/10</t>
  </si>
  <si>
    <t xml:space="preserve">Raheem Mostert RB | MIA </t>
  </si>
  <si>
    <t>1 min 34 sec</t>
  </si>
  <si>
    <t>#60 RB</t>
  </si>
  <si>
    <t xml:space="preserve"> 8/10</t>
  </si>
  <si>
    <t>Tua Tagovailoa QB | MIA  (Keeper)</t>
  </si>
  <si>
    <t>#22 QB</t>
  </si>
  <si>
    <t xml:space="preserve"> 9/10</t>
  </si>
  <si>
    <t>Najee Harris RB | PIT (Keeper)</t>
  </si>
  <si>
    <t>#19 RB</t>
  </si>
  <si>
    <t xml:space="preserve"> 10/10</t>
  </si>
  <si>
    <t>Jordan Hicks LB | CLE  (Keeper)</t>
  </si>
  <si>
    <t>#77 LB</t>
  </si>
  <si>
    <t xml:space="preserve"> 11/10</t>
  </si>
  <si>
    <t>Budda Baker DB | ARI (Keeper)</t>
  </si>
  <si>
    <t>#3 DB</t>
  </si>
  <si>
    <t xml:space="preserve"> 12/10</t>
  </si>
  <si>
    <t>Alvin Kamara RB | NO  (Keeper)</t>
  </si>
  <si>
    <t>#15 RB</t>
  </si>
  <si>
    <t xml:space="preserve"> 13/10</t>
  </si>
  <si>
    <t>Minkah Fitzpatrick DB | PIT  (Keeper)</t>
  </si>
  <si>
    <t>#45 DB</t>
  </si>
  <si>
    <t xml:space="preserve"> 14/10</t>
  </si>
  <si>
    <t>Mark Andrews TE | BAL  (Keeper)</t>
  </si>
  <si>
    <t>#7 TE</t>
  </si>
  <si>
    <t xml:space="preserve"> 15/10</t>
  </si>
  <si>
    <t>Khalil Mack LB | LAC  (Keeper)</t>
  </si>
  <si>
    <t>#63 LB</t>
  </si>
  <si>
    <t xml:space="preserve"> 16/10</t>
  </si>
  <si>
    <t xml:space="preserve">Daniel Jones QB | MIN </t>
  </si>
  <si>
    <t>1 min 4 sec</t>
  </si>
  <si>
    <t>#27 QB</t>
  </si>
  <si>
    <t>Daniel</t>
  </si>
  <si>
    <t xml:space="preserve"> 17/10</t>
  </si>
  <si>
    <t xml:space="preserve">Blake Corum RB | LAR </t>
  </si>
  <si>
    <t>1 min 16 sec</t>
  </si>
  <si>
    <t>#86 RB</t>
  </si>
  <si>
    <t xml:space="preserve"> 18/10</t>
  </si>
  <si>
    <t xml:space="preserve">Kerby Joseph DB | DET </t>
  </si>
  <si>
    <t>4 min 21 sec</t>
  </si>
  <si>
    <t>#5 DB</t>
  </si>
  <si>
    <t xml:space="preserve"> 19/10</t>
  </si>
  <si>
    <t xml:space="preserve">Jalen Pitre DB | HOU </t>
  </si>
  <si>
    <t>14 min 6 sec</t>
  </si>
  <si>
    <t>#106 DB</t>
  </si>
  <si>
    <t xml:space="preserve"> 20/10</t>
  </si>
  <si>
    <t>Ladd McConkey WR | LAC</t>
  </si>
  <si>
    <t>#7 WR</t>
  </si>
  <si>
    <t xml:space="preserve"> 21/10</t>
  </si>
  <si>
    <t xml:space="preserve">Edgerrin Cooper LB | GB </t>
  </si>
  <si>
    <t>29 min 13 sec</t>
  </si>
  <si>
    <t>#35 LB</t>
  </si>
  <si>
    <t xml:space="preserve"> 22/10</t>
  </si>
  <si>
    <t>George Kittle TE | SF  (Keeper)</t>
  </si>
  <si>
    <t>#3 TE</t>
  </si>
  <si>
    <t xml:space="preserve"> 23/10</t>
  </si>
  <si>
    <t xml:space="preserve">Kyle Dugger DB | NE </t>
  </si>
  <si>
    <t>23 sec</t>
  </si>
  <si>
    <t>#73 DB</t>
  </si>
  <si>
    <t>Dugger</t>
  </si>
  <si>
    <t xml:space="preserve"> 24/10</t>
  </si>
  <si>
    <t xml:space="preserve">Ja'Lynn Polk WR | NE </t>
  </si>
  <si>
    <t>#130 WR</t>
  </si>
  <si>
    <t>Ja'Lynn</t>
  </si>
  <si>
    <t>Polk</t>
  </si>
  <si>
    <t xml:space="preserve"> 25/10</t>
  </si>
  <si>
    <t xml:space="preserve">Trent McDuffie DB | KC </t>
  </si>
  <si>
    <t>5 min 38 sec</t>
  </si>
  <si>
    <t>#47 DB</t>
  </si>
  <si>
    <t>Trent</t>
  </si>
  <si>
    <t xml:space="preserve"> 26/10</t>
  </si>
  <si>
    <t>Jerome Ford RB | CLE  (Keeper)</t>
  </si>
  <si>
    <t>#34 RB</t>
  </si>
  <si>
    <t xml:space="preserve"> 27/10</t>
  </si>
  <si>
    <t>Blake Grupe K | NO</t>
  </si>
  <si>
    <t>0 sec (59 min 30 sec)</t>
  </si>
  <si>
    <t>#17 K</t>
  </si>
  <si>
    <t>Item</t>
  </si>
  <si>
    <t>Suggested By</t>
  </si>
  <si>
    <t>Limit the number of keepers each year?</t>
  </si>
  <si>
    <t>Bradley 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</si>
</sst>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2" fontId="2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3" fontId="3" numFmtId="9" xfId="0" applyFont="1" applyNumberFormat="1"/>
    <xf borderId="0" fillId="3" fontId="3" numFmtId="164" xfId="0" applyAlignment="1" applyFont="1" applyNumberFormat="1">
      <alignment horizontal="center"/>
    </xf>
    <xf borderId="1" fillId="3" fontId="4" numFmtId="0" xfId="0" applyAlignment="1" applyBorder="1" applyFont="1">
      <alignment readingOrder="0"/>
    </xf>
    <xf borderId="0" fillId="4" fontId="3" numFmtId="9" xfId="0" applyFont="1" applyNumberFormat="1"/>
    <xf borderId="0" fillId="4" fontId="3" numFmtId="164" xfId="0" applyAlignment="1" applyFont="1" applyNumberFormat="1">
      <alignment horizontal="center"/>
    </xf>
    <xf borderId="1" fillId="4" fontId="4" numFmtId="0" xfId="0" applyAlignment="1" applyBorder="1" applyFont="1">
      <alignment readingOrder="0"/>
    </xf>
    <xf borderId="0" fillId="4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1" fillId="4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4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1" fillId="4" fontId="3" numFmtId="0" xfId="0" applyBorder="1" applyFont="1"/>
    <xf borderId="1" fillId="3" fontId="3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2024_Transactions-style">
      <tableStyleElement dxfId="1" type="headerRow"/>
      <tableStyleElement dxfId="2" type="firstRowStripe"/>
      <tableStyleElement dxfId="3" type="secondRowStripe"/>
    </tableStyle>
    <tableStyle count="3" pivot="0" name="2024_Draft_tea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39" displayName="Table_1" name="Table_1" id="1">
  <tableColumns count="10">
    <tableColumn name="Date" id="1"/>
    <tableColumn name="Team" id="2"/>
    <tableColumn name="PlayerMatch" id="3"/>
    <tableColumn name="First" id="4"/>
    <tableColumn name="Last" id="5"/>
    <tableColumn name="Position" id="6"/>
    <tableColumn name="Break" id="7"/>
    <tableColumn name="Team2" id="8"/>
    <tableColumn name="N/A" id="9"/>
    <tableColumn name="Type" id="10"/>
  </tableColumns>
  <tableStyleInfo name="2024_Transactions-style" showColumnStripes="0" showFirstColumn="1" showLastColumn="1" showRowStripes="1"/>
</table>
</file>

<file path=xl/tables/table2.xml><?xml version="1.0" encoding="utf-8"?>
<table xmlns="http://schemas.openxmlformats.org/spreadsheetml/2006/main" ref="A1:R271" displayName="Table_2" name="Table_2" id="2">
  <tableColumns count="18">
    <tableColumn name="Rnd/Pk" id="1"/>
    <tableColumn name="Team" id="2"/>
    <tableColumn name="Player" id="3"/>
    <tableColumn name="Elapsed Time" id="4"/>
    <tableColumn name="Rank" id="5"/>
    <tableColumn name="Total Fpts" id="6"/>
    <tableColumn name="Active Fpts" id="7"/>
    <tableColumn name="Keeper" id="8"/>
    <tableColumn name="2024Round" id="9"/>
    <tableColumn name="2025Round" id="10"/>
    <tableColumn name="First" id="11"/>
    <tableColumn name="Last" id="12"/>
    <tableColumn name="Position" id="13"/>
    <tableColumn name="Blank" id="14"/>
    <tableColumn name="Team2" id="15"/>
    <tableColumn name="Column6" id="16"/>
    <tableColumn name="PlayerMatch" id="17"/>
    <tableColumn name="Dropped" id="18"/>
  </tableColumns>
  <tableStyleInfo name="2024_Draft_te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0"/>
    <col customWidth="1" min="3" max="3" width="6.38"/>
    <col customWidth="1" min="4" max="4" width="17.63"/>
    <col customWidth="1" min="5" max="5" width="21.75"/>
    <col customWidth="1" min="6" max="26" width="8.63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</row>
    <row r="3" ht="14.25" hidden="1" customHeight="1">
      <c r="B3" s="2">
        <v>1.0</v>
      </c>
      <c r="C3" s="2">
        <v>1.0</v>
      </c>
      <c r="D3" s="2" t="s">
        <v>4</v>
      </c>
      <c r="E3" s="2" t="str">
        <f t="array" ref="E3">INDEX('2024_Roster_Offseason'!$I$2:$I$301,MATCH(1,('2025_Draft_team'!$D3='2024_Roster_Offseason'!$A$2:$A$301)*('2025_Draft_team'!$B3='2024_Roster_Offseason'!$P$2:$P$301)*('2024_Roster_Offseason'!$Q$2:$Q$301="Y"),0))</f>
        <v>#N/A</v>
      </c>
    </row>
    <row r="4" ht="14.25" hidden="1" customHeight="1">
      <c r="B4" s="3">
        <v>1.0</v>
      </c>
      <c r="C4" s="3">
        <v>2.0</v>
      </c>
      <c r="D4" s="3" t="s">
        <v>5</v>
      </c>
      <c r="E4" s="3" t="str">
        <f t="array" ref="E4">INDEX('2024_Roster_Offseason'!$I$2:$I$301,MATCH(1,('2025_Draft_team'!$D4='2024_Roster_Offseason'!$A$2:$A$301)*('2025_Draft_team'!$B4='2024_Roster_Offseason'!$P$2:$P$301)*('2024_Roster_Offseason'!$Q$2:$Q$301="Y"),0))</f>
        <v>#N/A</v>
      </c>
    </row>
    <row r="5" ht="14.25" customHeight="1">
      <c r="B5" s="2">
        <v>1.0</v>
      </c>
      <c r="C5" s="2">
        <v>3.0</v>
      </c>
      <c r="D5" s="2" t="s">
        <v>6</v>
      </c>
      <c r="E5" s="2" t="str">
        <f t="array" ref="E5">INDEX('2024_Roster_Offseason'!$I$2:$I$301,MATCH(1,('2025_Draft_team'!$D5='2024_Roster_Offseason'!$A$2:$A$301)*('2025_Draft_team'!$B5='2024_Roster_Offseason'!$P$2:$P$301)*('2024_Roster_Offseason'!$Q$2:$Q$301="Y"),0))</f>
        <v>#N/A</v>
      </c>
    </row>
    <row r="6" ht="14.25" hidden="1" customHeight="1">
      <c r="B6" s="3">
        <v>1.0</v>
      </c>
      <c r="C6" s="3">
        <v>4.0</v>
      </c>
      <c r="D6" s="3" t="s">
        <v>7</v>
      </c>
      <c r="E6" s="3" t="str">
        <f t="array" ref="E6">INDEX('2024_Roster_Offseason'!$I$2:$I$301,MATCH(1,('2025_Draft_team'!$D6='2024_Roster_Offseason'!$A$2:$A$301)*('2025_Draft_team'!$B6='2024_Roster_Offseason'!$P$2:$P$301)*('2024_Roster_Offseason'!$Q$2:$Q$301="Y"),0))</f>
        <v>#N/A</v>
      </c>
    </row>
    <row r="7" ht="14.25" hidden="1" customHeight="1">
      <c r="B7" s="2">
        <v>1.0</v>
      </c>
      <c r="C7" s="2">
        <v>5.0</v>
      </c>
      <c r="D7" s="2" t="s">
        <v>8</v>
      </c>
      <c r="E7" s="2" t="str">
        <f t="array" ref="E7">INDEX('2024_Roster_Offseason'!$I$2:$I$301,MATCH(1,('2025_Draft_team'!$D7='2024_Roster_Offseason'!$A$2:$A$301)*('2025_Draft_team'!$B7='2024_Roster_Offseason'!$P$2:$P$301)*('2024_Roster_Offseason'!$Q$2:$Q$301="Y"),0))</f>
        <v>#N/A</v>
      </c>
    </row>
    <row r="8" ht="14.25" hidden="1" customHeight="1">
      <c r="B8" s="3">
        <v>1.0</v>
      </c>
      <c r="C8" s="3">
        <v>6.0</v>
      </c>
      <c r="D8" s="3" t="s">
        <v>9</v>
      </c>
      <c r="E8" s="3" t="str">
        <f t="array" ref="E8">INDEX('2024_Roster_Offseason'!$I$2:$I$301,MATCH(1,('2025_Draft_team'!$D8='2024_Roster_Offseason'!$A$2:$A$301)*('2025_Draft_team'!$B8='2024_Roster_Offseason'!$P$2:$P$301)*('2024_Roster_Offseason'!$Q$2:$Q$301="Y"),0))</f>
        <v>#N/A</v>
      </c>
    </row>
    <row r="9" ht="14.25" hidden="1" customHeight="1">
      <c r="B9" s="2">
        <v>1.0</v>
      </c>
      <c r="C9" s="2">
        <v>7.0</v>
      </c>
      <c r="D9" s="2" t="s">
        <v>10</v>
      </c>
      <c r="E9" s="2" t="str">
        <f t="array" ref="E9">INDEX('2024_Roster_Offseason'!$I$2:$I$301,MATCH(1,('2025_Draft_team'!$D9='2024_Roster_Offseason'!$A$2:$A$301)*('2025_Draft_team'!$B9='2024_Roster_Offseason'!$P$2:$P$301)*('2024_Roster_Offseason'!$Q$2:$Q$301="Y"),0))</f>
        <v>#N/A</v>
      </c>
    </row>
    <row r="10" ht="14.25" hidden="1" customHeight="1">
      <c r="B10" s="3">
        <v>1.0</v>
      </c>
      <c r="C10" s="3">
        <v>8.0</v>
      </c>
      <c r="D10" s="3" t="s">
        <v>11</v>
      </c>
      <c r="E10" s="3" t="str">
        <f t="array" ref="E10">INDEX('2024_Roster_Offseason'!$I$2:$I$301,MATCH(1,('2025_Draft_team'!$D10='2024_Roster_Offseason'!$A$2:$A$301)*('2025_Draft_team'!$B10='2024_Roster_Offseason'!$P$2:$P$301)*('2024_Roster_Offseason'!$Q$2:$Q$301="Y"),0))</f>
        <v>#N/A</v>
      </c>
    </row>
    <row r="11" ht="14.25" hidden="1" customHeight="1">
      <c r="B11" s="2">
        <v>1.0</v>
      </c>
      <c r="C11" s="2">
        <v>9.0</v>
      </c>
      <c r="D11" s="2" t="s">
        <v>12</v>
      </c>
      <c r="E11" s="2" t="str">
        <f t="array" ref="E11">INDEX('2024_Roster_Offseason'!$I$2:$I$301,MATCH(1,('2025_Draft_team'!$D11='2024_Roster_Offseason'!$A$2:$A$301)*('2025_Draft_team'!$B11='2024_Roster_Offseason'!$P$2:$P$301)*('2024_Roster_Offseason'!$Q$2:$Q$301="Y"),0))</f>
        <v>JaydenDaniels</v>
      </c>
    </row>
    <row r="12" ht="14.25" hidden="1" customHeight="1">
      <c r="B12" s="3">
        <v>1.0</v>
      </c>
      <c r="C12" s="3">
        <v>10.0</v>
      </c>
      <c r="D12" s="3" t="s">
        <v>13</v>
      </c>
      <c r="E12" s="3" t="str">
        <f t="array" ref="E12">INDEX('2024_Roster_Offseason'!$I$2:$I$301,MATCH(1,('2025_Draft_team'!$D12='2024_Roster_Offseason'!$A$2:$A$301)*('2025_Draft_team'!$B12='2024_Roster_Offseason'!$P$2:$P$301)*('2024_Roster_Offseason'!$Q$2:$Q$301="Y"),0))</f>
        <v>#N/A</v>
      </c>
    </row>
    <row r="13" ht="14.25" hidden="1" customHeight="1">
      <c r="B13" s="2">
        <v>2.0</v>
      </c>
      <c r="C13" s="2">
        <v>1.0</v>
      </c>
      <c r="D13" s="2" t="s">
        <v>4</v>
      </c>
      <c r="E13" s="2" t="str">
        <f t="array" ref="E13">INDEX('2024_Roster_Offseason'!$I$2:$I$301,MATCH(1,('2025_Draft_team'!$D13='2024_Roster_Offseason'!$A$2:$A$301)*('2025_Draft_team'!$B13='2024_Roster_Offseason'!$P$2:$P$301)*('2024_Roster_Offseason'!$Q$2:$Q$301="Y"),0))</f>
        <v>#N/A</v>
      </c>
    </row>
    <row r="14" ht="14.25" hidden="1" customHeight="1">
      <c r="B14" s="3">
        <v>2.0</v>
      </c>
      <c r="C14" s="3">
        <v>2.0</v>
      </c>
      <c r="D14" s="3" t="s">
        <v>5</v>
      </c>
      <c r="E14" s="3" t="str">
        <f t="array" ref="E14">INDEX('2024_Roster_Offseason'!$I$2:$I$301,MATCH(1,('2025_Draft_team'!$D14='2024_Roster_Offseason'!$A$2:$A$301)*('2025_Draft_team'!$B14='2024_Roster_Offseason'!$P$2:$P$301)*('2024_Roster_Offseason'!$Q$2:$Q$301="Y"),0))</f>
        <v>#N/A</v>
      </c>
    </row>
    <row r="15" ht="14.25" customHeight="1">
      <c r="B15" s="2">
        <v>2.0</v>
      </c>
      <c r="C15" s="2">
        <v>3.0</v>
      </c>
      <c r="D15" s="2" t="s">
        <v>6</v>
      </c>
      <c r="E15" s="2" t="str">
        <f t="array" ref="E15">INDEX('2024_Roster_Offseason'!$I$2:$I$301,MATCH(1,('2025_Draft_team'!$D15='2024_Roster_Offseason'!$A$2:$A$301)*('2025_Draft_team'!$B15='2024_Roster_Offseason'!$P$2:$P$301)*('2024_Roster_Offseason'!$Q$2:$Q$301="Y"),0))</f>
        <v>#N/A</v>
      </c>
    </row>
    <row r="16" ht="14.25" hidden="1" customHeight="1">
      <c r="B16" s="3">
        <v>2.0</v>
      </c>
      <c r="C16" s="3">
        <v>4.0</v>
      </c>
      <c r="D16" s="3" t="s">
        <v>7</v>
      </c>
      <c r="E16" s="3" t="str">
        <f t="array" ref="E16">INDEX('2024_Roster_Offseason'!$I$2:$I$301,MATCH(1,('2025_Draft_team'!$D16='2024_Roster_Offseason'!$A$2:$A$301)*('2025_Draft_team'!$B16='2024_Roster_Offseason'!$P$2:$P$301)*('2024_Roster_Offseason'!$Q$2:$Q$301="Y"),0))</f>
        <v>#N/A</v>
      </c>
    </row>
    <row r="17" ht="14.25" hidden="1" customHeight="1">
      <c r="B17" s="2">
        <v>2.0</v>
      </c>
      <c r="C17" s="2">
        <v>5.0</v>
      </c>
      <c r="D17" s="2" t="s">
        <v>8</v>
      </c>
      <c r="E17" s="2" t="str">
        <f t="array" ref="E17">INDEX('2024_Roster_Offseason'!$I$2:$I$301,MATCH(1,('2025_Draft_team'!$D17='2024_Roster_Offseason'!$A$2:$A$301)*('2025_Draft_team'!$B17='2024_Roster_Offseason'!$P$2:$P$301)*('2024_Roster_Offseason'!$Q$2:$Q$301="Y"),0))</f>
        <v>#N/A</v>
      </c>
    </row>
    <row r="18" ht="14.25" hidden="1" customHeight="1">
      <c r="B18" s="3">
        <v>2.0</v>
      </c>
      <c r="C18" s="3">
        <v>6.0</v>
      </c>
      <c r="D18" s="3" t="s">
        <v>9</v>
      </c>
      <c r="E18" s="3" t="str">
        <f t="array" ref="E18">INDEX('2024_Roster_Offseason'!$I$2:$I$301,MATCH(1,('2025_Draft_team'!$D18='2024_Roster_Offseason'!$A$2:$A$301)*('2025_Draft_team'!$B18='2024_Roster_Offseason'!$P$2:$P$301)*('2024_Roster_Offseason'!$Q$2:$Q$301="Y"),0))</f>
        <v>#N/A</v>
      </c>
    </row>
    <row r="19" ht="14.25" hidden="1" customHeight="1">
      <c r="B19" s="2">
        <v>2.0</v>
      </c>
      <c r="C19" s="2">
        <v>7.0</v>
      </c>
      <c r="D19" s="2" t="s">
        <v>10</v>
      </c>
      <c r="E19" s="2" t="str">
        <f t="array" ref="E19">INDEX('2024_Roster_Offseason'!$I$2:$I$301,MATCH(1,('2025_Draft_team'!$D19='2024_Roster_Offseason'!$A$2:$A$301)*('2025_Draft_team'!$B19='2024_Roster_Offseason'!$P$2:$P$301)*('2024_Roster_Offseason'!$Q$2:$Q$301="Y"),0))</f>
        <v>#N/A</v>
      </c>
    </row>
    <row r="20" ht="14.25" hidden="1" customHeight="1">
      <c r="B20" s="3">
        <v>2.0</v>
      </c>
      <c r="C20" s="3">
        <v>8.0</v>
      </c>
      <c r="D20" s="3" t="s">
        <v>11</v>
      </c>
      <c r="E20" s="3" t="str">
        <f t="array" ref="E20">INDEX('2024_Roster_Offseason'!$I$2:$I$301,MATCH(1,('2025_Draft_team'!$D20='2024_Roster_Offseason'!$A$2:$A$301)*('2025_Draft_team'!$B20='2024_Roster_Offseason'!$P$2:$P$301)*('2024_Roster_Offseason'!$Q$2:$Q$301="Y"),0))</f>
        <v>#N/A</v>
      </c>
    </row>
    <row r="21" ht="14.25" hidden="1" customHeight="1">
      <c r="B21" s="2">
        <v>2.0</v>
      </c>
      <c r="C21" s="2">
        <v>9.0</v>
      </c>
      <c r="D21" s="2" t="s">
        <v>12</v>
      </c>
      <c r="E21" s="2" t="str">
        <f t="array" ref="E21">INDEX('2024_Roster_Offseason'!$I$2:$I$301,MATCH(1,('2025_Draft_team'!$D21='2024_Roster_Offseason'!$A$2:$A$301)*('2025_Draft_team'!$B21='2024_Roster_Offseason'!$P$2:$P$301)*('2024_Roster_Offseason'!$Q$2:$Q$301="Y"),0))</f>
        <v>#N/A</v>
      </c>
    </row>
    <row r="22" ht="14.25" hidden="1" customHeight="1">
      <c r="B22" s="3">
        <v>2.0</v>
      </c>
      <c r="C22" s="3">
        <v>10.0</v>
      </c>
      <c r="D22" s="3" t="s">
        <v>13</v>
      </c>
      <c r="E22" s="3" t="str">
        <f t="array" ref="E22">INDEX('2024_Roster_Offseason'!$I$2:$I$301,MATCH(1,('2025_Draft_team'!$D22='2024_Roster_Offseason'!$A$2:$A$301)*('2025_Draft_team'!$B22='2024_Roster_Offseason'!$P$2:$P$301)*('2024_Roster_Offseason'!$Q$2:$Q$301="Y"),0))</f>
        <v>#N/A</v>
      </c>
    </row>
    <row r="23" ht="14.25" hidden="1" customHeight="1">
      <c r="B23" s="2">
        <v>3.0</v>
      </c>
      <c r="C23" s="2">
        <v>1.0</v>
      </c>
      <c r="D23" s="2" t="s">
        <v>4</v>
      </c>
      <c r="E23" s="2" t="str">
        <f t="array" ref="E23">INDEX('2024_Roster_Offseason'!$I$2:$I$301,MATCH(1,('2025_Draft_team'!$D23='2024_Roster_Offseason'!$A$2:$A$301)*('2025_Draft_team'!$B23='2024_Roster_Offseason'!$P$2:$P$301)*('2024_Roster_Offseason'!$Q$2:$Q$301="Y"),0))</f>
        <v>#N/A</v>
      </c>
    </row>
    <row r="24" ht="14.25" hidden="1" customHeight="1">
      <c r="B24" s="3">
        <v>3.0</v>
      </c>
      <c r="C24" s="3">
        <v>2.0</v>
      </c>
      <c r="D24" s="3" t="s">
        <v>5</v>
      </c>
      <c r="E24" s="3" t="str">
        <f t="array" ref="E24">INDEX('2024_Roster_Offseason'!$I$2:$I$301,MATCH(1,('2025_Draft_team'!$D24='2024_Roster_Offseason'!$A$2:$A$301)*('2025_Draft_team'!$B24='2024_Roster_Offseason'!$P$2:$P$301)*('2024_Roster_Offseason'!$Q$2:$Q$301="Y"),0))</f>
        <v>#N/A</v>
      </c>
    </row>
    <row r="25" ht="14.25" customHeight="1">
      <c r="B25" s="2">
        <v>3.0</v>
      </c>
      <c r="C25" s="2">
        <v>3.0</v>
      </c>
      <c r="D25" s="2" t="s">
        <v>6</v>
      </c>
      <c r="E25" s="2" t="str">
        <f t="array" ref="E25">INDEX('2024_Roster_Offseason'!$I$2:$I$301,MATCH(1,('2025_Draft_team'!$D25='2024_Roster_Offseason'!$A$2:$A$301)*('2025_Draft_team'!$B25='2024_Roster_Offseason'!$P$2:$P$301)*('2024_Roster_Offseason'!$Q$2:$Q$301="Y"),0))</f>
        <v>#N/A</v>
      </c>
    </row>
    <row r="26" ht="14.25" hidden="1" customHeight="1">
      <c r="B26" s="3">
        <v>3.0</v>
      </c>
      <c r="C26" s="3">
        <v>4.0</v>
      </c>
      <c r="D26" s="3" t="s">
        <v>7</v>
      </c>
      <c r="E26" s="3" t="str">
        <f t="array" ref="E26">INDEX('2024_Roster_Offseason'!$I$2:$I$301,MATCH(1,('2025_Draft_team'!$D26='2024_Roster_Offseason'!$A$2:$A$301)*('2025_Draft_team'!$B26='2024_Roster_Offseason'!$P$2:$P$301)*('2024_Roster_Offseason'!$Q$2:$Q$301="Y"),0))</f>
        <v>#N/A</v>
      </c>
    </row>
    <row r="27" ht="14.25" hidden="1" customHeight="1">
      <c r="B27" s="2">
        <v>3.0</v>
      </c>
      <c r="C27" s="2">
        <v>5.0</v>
      </c>
      <c r="D27" s="2" t="s">
        <v>8</v>
      </c>
      <c r="E27" s="2" t="str">
        <f t="array" ref="E27">INDEX('2024_Roster_Offseason'!$I$2:$I$301,MATCH(1,('2025_Draft_team'!$D27='2024_Roster_Offseason'!$A$2:$A$301)*('2025_Draft_team'!$B27='2024_Roster_Offseason'!$P$2:$P$301)*('2024_Roster_Offseason'!$Q$2:$Q$301="Y"),0))</f>
        <v>#N/A</v>
      </c>
    </row>
    <row r="28" ht="14.25" hidden="1" customHeight="1">
      <c r="B28" s="3">
        <v>3.0</v>
      </c>
      <c r="C28" s="3">
        <v>6.0</v>
      </c>
      <c r="D28" s="3" t="s">
        <v>9</v>
      </c>
      <c r="E28" s="3" t="str">
        <f t="array" ref="E28">INDEX('2024_Roster_Offseason'!$I$2:$I$301,MATCH(1,('2025_Draft_team'!$D28='2024_Roster_Offseason'!$A$2:$A$301)*('2025_Draft_team'!$B28='2024_Roster_Offseason'!$P$2:$P$301)*('2024_Roster_Offseason'!$Q$2:$Q$301="Y"),0))</f>
        <v>JonathanTaylor</v>
      </c>
    </row>
    <row r="29" ht="14.25" hidden="1" customHeight="1">
      <c r="B29" s="2">
        <v>3.0</v>
      </c>
      <c r="C29" s="2">
        <v>7.0</v>
      </c>
      <c r="D29" s="2" t="s">
        <v>10</v>
      </c>
      <c r="E29" s="2" t="str">
        <f t="array" ref="E29">INDEX('2024_Roster_Offseason'!$I$2:$I$301,MATCH(1,('2025_Draft_team'!$D29='2024_Roster_Offseason'!$A$2:$A$301)*('2025_Draft_team'!$B29='2024_Roster_Offseason'!$P$2:$P$301)*('2024_Roster_Offseason'!$Q$2:$Q$301="Y"),0))</f>
        <v>#N/A</v>
      </c>
    </row>
    <row r="30" ht="14.25" hidden="1" customHeight="1">
      <c r="B30" s="3">
        <v>3.0</v>
      </c>
      <c r="C30" s="3">
        <v>8.0</v>
      </c>
      <c r="D30" s="3" t="s">
        <v>11</v>
      </c>
      <c r="E30" s="3" t="str">
        <f t="array" ref="E30">INDEX('2024_Roster_Offseason'!$I$2:$I$301,MATCH(1,('2025_Draft_team'!$D30='2024_Roster_Offseason'!$A$2:$A$301)*('2025_Draft_team'!$B30='2024_Roster_Offseason'!$P$2:$P$301)*('2024_Roster_Offseason'!$Q$2:$Q$301="Y"),0))</f>
        <v>#N/A</v>
      </c>
    </row>
    <row r="31" ht="14.25" hidden="1" customHeight="1">
      <c r="B31" s="2">
        <v>3.0</v>
      </c>
      <c r="C31" s="2">
        <v>9.0</v>
      </c>
      <c r="D31" s="2" t="s">
        <v>12</v>
      </c>
      <c r="E31" s="2" t="str">
        <f t="array" ref="E31">INDEX('2024_Roster_Offseason'!$I$2:$I$301,MATCH(1,('2025_Draft_team'!$D31='2024_Roster_Offseason'!$A$2:$A$301)*('2025_Draft_team'!$B31='2024_Roster_Offseason'!$P$2:$P$301)*('2024_Roster_Offseason'!$Q$2:$Q$301="Y"),0))</f>
        <v>#N/A</v>
      </c>
    </row>
    <row r="32" ht="14.25" hidden="1" customHeight="1">
      <c r="B32" s="3">
        <v>3.0</v>
      </c>
      <c r="C32" s="3">
        <v>10.0</v>
      </c>
      <c r="D32" s="3" t="s">
        <v>13</v>
      </c>
      <c r="E32" s="3" t="str">
        <f t="array" ref="E32">INDEX('2024_Roster_Offseason'!$I$2:$I$301,MATCH(1,('2025_Draft_team'!$D32='2024_Roster_Offseason'!$A$2:$A$301)*('2025_Draft_team'!$B32='2024_Roster_Offseason'!$P$2:$P$301)*('2024_Roster_Offseason'!$Q$2:$Q$301="Y"),0))</f>
        <v>#N/A</v>
      </c>
    </row>
    <row r="33" ht="14.25" hidden="1" customHeight="1">
      <c r="B33" s="2">
        <v>4.0</v>
      </c>
      <c r="C33" s="2">
        <v>1.0</v>
      </c>
      <c r="D33" s="2" t="s">
        <v>4</v>
      </c>
      <c r="E33" s="2" t="str">
        <f t="array" ref="E33">INDEX('2024_Roster_Offseason'!$I$2:$I$301,MATCH(1,('2025_Draft_team'!$D33='2024_Roster_Offseason'!$A$2:$A$301)*('2025_Draft_team'!$B33='2024_Roster_Offseason'!$P$2:$P$301)*('2024_Roster_Offseason'!$Q$2:$Q$301="Y"),0))</f>
        <v>#N/A</v>
      </c>
    </row>
    <row r="34" ht="14.25" hidden="1" customHeight="1">
      <c r="B34" s="3">
        <v>4.0</v>
      </c>
      <c r="C34" s="3">
        <v>2.0</v>
      </c>
      <c r="D34" s="3" t="s">
        <v>5</v>
      </c>
      <c r="E34" s="3" t="str">
        <f t="array" ref="E34">INDEX('2024_Roster_Offseason'!$I$2:$I$301,MATCH(1,('2025_Draft_team'!$D34='2024_Roster_Offseason'!$A$2:$A$301)*('2025_Draft_team'!$B34='2024_Roster_Offseason'!$P$2:$P$301)*('2024_Roster_Offseason'!$Q$2:$Q$301="Y"),0))</f>
        <v>#N/A</v>
      </c>
    </row>
    <row r="35" ht="14.25" customHeight="1">
      <c r="B35" s="2">
        <v>4.0</v>
      </c>
      <c r="C35" s="2">
        <v>3.0</v>
      </c>
      <c r="D35" s="2" t="s">
        <v>6</v>
      </c>
      <c r="E35" s="2" t="str">
        <f t="array" ref="E35">INDEX('2024_Roster_Offseason'!$I$2:$I$301,MATCH(1,('2025_Draft_team'!$D35='2024_Roster_Offseason'!$A$2:$A$301)*('2025_Draft_team'!$B35='2024_Roster_Offseason'!$P$2:$P$301)*('2024_Roster_Offseason'!$Q$2:$Q$301="Y"),0))</f>
        <v>#N/A</v>
      </c>
    </row>
    <row r="36" ht="14.25" hidden="1" customHeight="1">
      <c r="B36" s="3">
        <v>4.0</v>
      </c>
      <c r="C36" s="3">
        <v>4.0</v>
      </c>
      <c r="D36" s="3" t="s">
        <v>7</v>
      </c>
      <c r="E36" s="3" t="str">
        <f t="array" ref="E36">INDEX('2024_Roster_Offseason'!$I$2:$I$301,MATCH(1,('2025_Draft_team'!$D36='2024_Roster_Offseason'!$A$2:$A$301)*('2025_Draft_team'!$B36='2024_Roster_Offseason'!$P$2:$P$301)*('2024_Roster_Offseason'!$Q$2:$Q$301="Y"),0))</f>
        <v>#N/A</v>
      </c>
    </row>
    <row r="37" ht="14.25" hidden="1" customHeight="1">
      <c r="B37" s="2">
        <v>4.0</v>
      </c>
      <c r="C37" s="2">
        <v>5.0</v>
      </c>
      <c r="D37" s="2" t="s">
        <v>8</v>
      </c>
      <c r="E37" s="2" t="str">
        <f t="array" ref="E37">INDEX('2024_Roster_Offseason'!$I$2:$I$301,MATCH(1,('2025_Draft_team'!$D37='2024_Roster_Offseason'!$A$2:$A$301)*('2025_Draft_team'!$B37='2024_Roster_Offseason'!$P$2:$P$301)*('2024_Roster_Offseason'!$Q$2:$Q$301="Y"),0))</f>
        <v>BreeceHall</v>
      </c>
    </row>
    <row r="38" ht="14.25" hidden="1" customHeight="1">
      <c r="B38" s="3">
        <v>4.0</v>
      </c>
      <c r="C38" s="3">
        <v>6.0</v>
      </c>
      <c r="D38" s="3" t="s">
        <v>9</v>
      </c>
      <c r="E38" s="3" t="str">
        <f t="array" ref="E38">INDEX('2024_Roster_Offseason'!$I$2:$I$301,MATCH(1,('2025_Draft_team'!$D38='2024_Roster_Offseason'!$A$2:$A$301)*('2025_Draft_team'!$B38='2024_Roster_Offseason'!$P$2:$P$301)*('2024_Roster_Offseason'!$Q$2:$Q$301="Y"),0))</f>
        <v>#N/A</v>
      </c>
    </row>
    <row r="39" ht="14.25" hidden="1" customHeight="1">
      <c r="B39" s="2">
        <v>4.0</v>
      </c>
      <c r="C39" s="2">
        <v>7.0</v>
      </c>
      <c r="D39" s="2" t="s">
        <v>10</v>
      </c>
      <c r="E39" s="2" t="str">
        <f t="array" ref="E39">INDEX('2024_Roster_Offseason'!$I$2:$I$301,MATCH(1,('2025_Draft_team'!$D39='2024_Roster_Offseason'!$A$2:$A$301)*('2025_Draft_team'!$B39='2024_Roster_Offseason'!$P$2:$P$301)*('2024_Roster_Offseason'!$Q$2:$Q$301="Y"),0))</f>
        <v>FrankieLuvu</v>
      </c>
    </row>
    <row r="40" ht="14.25" hidden="1" customHeight="1">
      <c r="B40" s="3">
        <v>4.0</v>
      </c>
      <c r="C40" s="3">
        <v>8.0</v>
      </c>
      <c r="D40" s="3" t="s">
        <v>11</v>
      </c>
      <c r="E40" s="3" t="str">
        <f t="array" ref="E40">INDEX('2024_Roster_Offseason'!$I$2:$I$301,MATCH(1,('2025_Draft_team'!$D40='2024_Roster_Offseason'!$A$2:$A$301)*('2025_Draft_team'!$B40='2024_Roster_Offseason'!$P$2:$P$301)*('2024_Roster_Offseason'!$Q$2:$Q$301="Y"),0))</f>
        <v>#N/A</v>
      </c>
    </row>
    <row r="41" ht="14.25" hidden="1" customHeight="1">
      <c r="B41" s="2">
        <v>4.0</v>
      </c>
      <c r="C41" s="2">
        <v>9.0</v>
      </c>
      <c r="D41" s="2" t="s">
        <v>12</v>
      </c>
      <c r="E41" s="2" t="str">
        <f t="array" ref="E41">INDEX('2024_Roster_Offseason'!$I$2:$I$301,MATCH(1,('2025_Draft_team'!$D41='2024_Roster_Offseason'!$A$2:$A$301)*('2025_Draft_team'!$B41='2024_Roster_Offseason'!$P$2:$P$301)*('2024_Roster_Offseason'!$Q$2:$Q$301="Y"),0))</f>
        <v>JahmyrGibbs</v>
      </c>
    </row>
    <row r="42" ht="14.25" hidden="1" customHeight="1">
      <c r="B42" s="3">
        <v>4.0</v>
      </c>
      <c r="C42" s="3">
        <v>10.0</v>
      </c>
      <c r="D42" s="3" t="s">
        <v>13</v>
      </c>
      <c r="E42" s="3" t="str">
        <f t="array" ref="E42">INDEX('2024_Roster_Offseason'!$I$2:$I$301,MATCH(1,('2025_Draft_team'!$D42='2024_Roster_Offseason'!$A$2:$A$301)*('2025_Draft_team'!$B42='2024_Roster_Offseason'!$P$2:$P$301)*('2024_Roster_Offseason'!$Q$2:$Q$301="Y"),0))</f>
        <v>MalikNabers</v>
      </c>
    </row>
    <row r="43" ht="14.25" hidden="1" customHeight="1">
      <c r="B43" s="2">
        <v>5.0</v>
      </c>
      <c r="C43" s="2">
        <v>1.0</v>
      </c>
      <c r="D43" s="2" t="s">
        <v>4</v>
      </c>
      <c r="E43" s="2" t="str">
        <f t="array" ref="E43">INDEX('2024_Roster_Offseason'!$I$2:$I$301,MATCH(1,('2025_Draft_team'!$D43='2024_Roster_Offseason'!$A$2:$A$301)*('2025_Draft_team'!$B43='2024_Roster_Offseason'!$P$2:$P$301)*('2024_Roster_Offseason'!$Q$2:$Q$301="Y"),0))</f>
        <v>#N/A</v>
      </c>
    </row>
    <row r="44" ht="14.25" hidden="1" customHeight="1">
      <c r="B44" s="3">
        <v>5.0</v>
      </c>
      <c r="C44" s="3">
        <v>2.0</v>
      </c>
      <c r="D44" s="3" t="s">
        <v>5</v>
      </c>
      <c r="E44" s="3" t="str">
        <f t="array" ref="E44">INDEX('2024_Roster_Offseason'!$I$2:$I$301,MATCH(1,('2025_Draft_team'!$D44='2024_Roster_Offseason'!$A$2:$A$301)*('2025_Draft_team'!$B44='2024_Roster_Offseason'!$P$2:$P$301)*('2024_Roster_Offseason'!$Q$2:$Q$301="Y"),0))</f>
        <v>#N/A</v>
      </c>
    </row>
    <row r="45" ht="14.25" customHeight="1">
      <c r="B45" s="2">
        <v>5.0</v>
      </c>
      <c r="C45" s="2">
        <v>3.0</v>
      </c>
      <c r="D45" s="2" t="s">
        <v>6</v>
      </c>
      <c r="E45" s="2" t="str">
        <f t="array" ref="E45">INDEX('2024_Roster_Offseason'!$I$2:$I$301,MATCH(1,('2025_Draft_team'!$D45='2024_Roster_Offseason'!$A$2:$A$301)*('2025_Draft_team'!$B45='2024_Roster_Offseason'!$P$2:$P$301)*('2024_Roster_Offseason'!$Q$2:$Q$301="Y"),0))</f>
        <v>#N/A</v>
      </c>
    </row>
    <row r="46" ht="14.25" hidden="1" customHeight="1">
      <c r="B46" s="3">
        <v>5.0</v>
      </c>
      <c r="C46" s="3">
        <v>4.0</v>
      </c>
      <c r="D46" s="3" t="s">
        <v>7</v>
      </c>
      <c r="E46" s="3" t="str">
        <f t="array" ref="E46">INDEX('2024_Roster_Offseason'!$I$2:$I$301,MATCH(1,('2025_Draft_team'!$D46='2024_Roster_Offseason'!$A$2:$A$301)*('2025_Draft_team'!$B46='2024_Roster_Offseason'!$P$2:$P$301)*('2024_Roster_Offseason'!$Q$2:$Q$301="Y"),0))</f>
        <v>#N/A</v>
      </c>
    </row>
    <row r="47" ht="14.25" hidden="1" customHeight="1">
      <c r="B47" s="2">
        <v>5.0</v>
      </c>
      <c r="C47" s="2">
        <v>5.0</v>
      </c>
      <c r="D47" s="2" t="s">
        <v>8</v>
      </c>
      <c r="E47" s="2" t="str">
        <f t="array" ref="E47">INDEX('2024_Roster_Offseason'!$I$2:$I$301,MATCH(1,('2025_Draft_team'!$D47='2024_Roster_Offseason'!$A$2:$A$301)*('2025_Draft_team'!$B47='2024_Roster_Offseason'!$P$2:$P$301)*('2024_Roster_Offseason'!$Q$2:$Q$301="Y"),0))</f>
        <v>#N/A</v>
      </c>
    </row>
    <row r="48" ht="14.25" hidden="1" customHeight="1">
      <c r="B48" s="3">
        <v>5.0</v>
      </c>
      <c r="C48" s="3">
        <v>6.0</v>
      </c>
      <c r="D48" s="3" t="s">
        <v>9</v>
      </c>
      <c r="E48" s="3" t="str">
        <f t="array" ref="E48">INDEX('2024_Roster_Offseason'!$I$2:$I$301,MATCH(1,('2025_Draft_team'!$D48='2024_Roster_Offseason'!$A$2:$A$301)*('2025_Draft_team'!$B48='2024_Roster_Offseason'!$P$2:$P$301)*('2024_Roster_Offseason'!$Q$2:$Q$301="Y"),0))</f>
        <v>MaxxCrosby</v>
      </c>
    </row>
    <row r="49" ht="14.25" hidden="1" customHeight="1">
      <c r="B49" s="2">
        <v>5.0</v>
      </c>
      <c r="C49" s="2">
        <v>7.0</v>
      </c>
      <c r="D49" s="2" t="s">
        <v>10</v>
      </c>
      <c r="E49" s="2" t="str">
        <f t="array" ref="E49">INDEX('2024_Roster_Offseason'!$I$2:$I$301,MATCH(1,('2025_Draft_team'!$D49='2024_Roster_Offseason'!$A$2:$A$301)*('2025_Draft_team'!$B49='2024_Roster_Offseason'!$P$2:$P$301)*('2024_Roster_Offseason'!$Q$2:$Q$301="Y"),0))</f>
        <v>#N/A</v>
      </c>
    </row>
    <row r="50" ht="14.25" hidden="1" customHeight="1">
      <c r="B50" s="3">
        <v>5.0</v>
      </c>
      <c r="C50" s="3">
        <v>8.0</v>
      </c>
      <c r="D50" s="3" t="s">
        <v>11</v>
      </c>
      <c r="E50" s="3" t="str">
        <f t="array" ref="E50">INDEX('2024_Roster_Offseason'!$I$2:$I$301,MATCH(1,('2025_Draft_team'!$D50='2024_Roster_Offseason'!$A$2:$A$301)*('2025_Draft_team'!$B50='2024_Roster_Offseason'!$P$2:$P$301)*('2024_Roster_Offseason'!$Q$2:$Q$301="Y"),0))</f>
        <v>#N/A</v>
      </c>
    </row>
    <row r="51" ht="14.25" hidden="1" customHeight="1">
      <c r="B51" s="2">
        <v>5.0</v>
      </c>
      <c r="C51" s="2">
        <v>9.0</v>
      </c>
      <c r="D51" s="2" t="s">
        <v>12</v>
      </c>
      <c r="E51" s="2" t="str">
        <f t="array" ref="E51">INDEX('2024_Roster_Offseason'!$I$2:$I$301,MATCH(1,('2025_Draft_team'!$D51='2024_Roster_Offseason'!$A$2:$A$301)*('2025_Draft_team'!$B51='2024_Roster_Offseason'!$P$2:$P$301)*('2024_Roster_Offseason'!$Q$2:$Q$301="Y"),0))</f>
        <v>#N/A</v>
      </c>
    </row>
    <row r="52" ht="14.25" hidden="1" customHeight="1">
      <c r="B52" s="3">
        <v>5.0</v>
      </c>
      <c r="C52" s="3">
        <v>10.0</v>
      </c>
      <c r="D52" s="3" t="s">
        <v>13</v>
      </c>
      <c r="E52" s="3" t="str">
        <f t="array" ref="E52">INDEX('2024_Roster_Offseason'!$I$2:$I$301,MATCH(1,('2025_Draft_team'!$D52='2024_Roster_Offseason'!$A$2:$A$301)*('2025_Draft_team'!$B52='2024_Roster_Offseason'!$P$2:$P$301)*('2024_Roster_Offseason'!$Q$2:$Q$301="Y"),0))</f>
        <v>#N/A</v>
      </c>
    </row>
    <row r="53" ht="14.25" hidden="1" customHeight="1">
      <c r="B53" s="2">
        <v>6.0</v>
      </c>
      <c r="C53" s="2">
        <v>1.0</v>
      </c>
      <c r="D53" s="2" t="s">
        <v>4</v>
      </c>
      <c r="E53" s="2" t="str">
        <f t="array" ref="E53">INDEX('2024_Roster_Offseason'!$I$2:$I$301,MATCH(1,('2025_Draft_team'!$D53='2024_Roster_Offseason'!$A$2:$A$301)*('2025_Draft_team'!$B53='2024_Roster_Offseason'!$P$2:$P$301)*('2024_Roster_Offseason'!$Q$2:$Q$301="Y"),0))</f>
        <v>#N/A</v>
      </c>
    </row>
    <row r="54" ht="14.25" hidden="1" customHeight="1">
      <c r="B54" s="3">
        <v>6.0</v>
      </c>
      <c r="C54" s="3">
        <v>2.0</v>
      </c>
      <c r="D54" s="3" t="s">
        <v>5</v>
      </c>
      <c r="E54" s="3" t="str">
        <f t="array" ref="E54">INDEX('2024_Roster_Offseason'!$I$2:$I$301,MATCH(1,('2025_Draft_team'!$D54='2024_Roster_Offseason'!$A$2:$A$301)*('2025_Draft_team'!$B54='2024_Roster_Offseason'!$P$2:$P$301)*('2024_Roster_Offseason'!$Q$2:$Q$301="Y"),0))</f>
        <v>#N/A</v>
      </c>
    </row>
    <row r="55" ht="14.25" customHeight="1">
      <c r="B55" s="2">
        <v>6.0</v>
      </c>
      <c r="C55" s="2">
        <v>3.0</v>
      </c>
      <c r="D55" s="2" t="s">
        <v>6</v>
      </c>
      <c r="E55" s="2" t="str">
        <f t="array" ref="E55">INDEX('2024_Roster_Offseason'!$I$2:$I$301,MATCH(1,('2025_Draft_team'!$D55='2024_Roster_Offseason'!$A$2:$A$301)*('2025_Draft_team'!$B55='2024_Roster_Offseason'!$P$2:$P$301)*('2024_Roster_Offseason'!$Q$2:$Q$301="Y"),0))</f>
        <v>DrakeLondon</v>
      </c>
    </row>
    <row r="56" ht="14.25" hidden="1" customHeight="1">
      <c r="B56" s="3">
        <v>6.0</v>
      </c>
      <c r="C56" s="3">
        <v>4.0</v>
      </c>
      <c r="D56" s="3" t="s">
        <v>7</v>
      </c>
      <c r="E56" s="3" t="str">
        <f t="array" ref="E56">INDEX('2024_Roster_Offseason'!$I$2:$I$301,MATCH(1,('2025_Draft_team'!$D56='2024_Roster_Offseason'!$A$2:$A$301)*('2025_Draft_team'!$B56='2024_Roster_Offseason'!$P$2:$P$301)*('2024_Roster_Offseason'!$Q$2:$Q$301="Y"),0))</f>
        <v>AidanHutchinson</v>
      </c>
    </row>
    <row r="57" ht="14.25" hidden="1" customHeight="1">
      <c r="B57" s="2">
        <v>6.0</v>
      </c>
      <c r="C57" s="2">
        <v>5.0</v>
      </c>
      <c r="D57" s="2" t="s">
        <v>8</v>
      </c>
      <c r="E57" s="2" t="str">
        <f t="array" ref="E57">INDEX('2024_Roster_Offseason'!$I$2:$I$301,MATCH(1,('2025_Draft_team'!$D57='2024_Roster_Offseason'!$A$2:$A$301)*('2025_Draft_team'!$B57='2024_Roster_Offseason'!$P$2:$P$301)*('2024_Roster_Offseason'!$Q$2:$Q$301="Y"),0))</f>
        <v>#N/A</v>
      </c>
    </row>
    <row r="58" ht="14.25" hidden="1" customHeight="1">
      <c r="B58" s="3">
        <v>6.0</v>
      </c>
      <c r="C58" s="3">
        <v>6.0</v>
      </c>
      <c r="D58" s="3" t="s">
        <v>9</v>
      </c>
      <c r="E58" s="3" t="str">
        <f t="array" ref="E58">INDEX('2024_Roster_Offseason'!$I$2:$I$301,MATCH(1,('2025_Draft_team'!$D58='2024_Roster_Offseason'!$A$2:$A$301)*('2025_Draft_team'!$B58='2024_Roster_Offseason'!$P$2:$P$301)*('2024_Roster_Offseason'!$Q$2:$Q$301="Y"),0))</f>
        <v>#N/A</v>
      </c>
    </row>
    <row r="59" ht="14.25" hidden="1" customHeight="1">
      <c r="B59" s="2">
        <v>6.0</v>
      </c>
      <c r="C59" s="2">
        <v>7.0</v>
      </c>
      <c r="D59" s="2" t="s">
        <v>10</v>
      </c>
      <c r="E59" s="2" t="str">
        <f t="array" ref="E59">INDEX('2024_Roster_Offseason'!$I$2:$I$301,MATCH(1,('2025_Draft_team'!$D59='2024_Roster_Offseason'!$A$2:$A$301)*('2025_Draft_team'!$B59='2024_Roster_Offseason'!$P$2:$P$301)*('2024_Roster_Offseason'!$Q$2:$Q$301="Y"),0))</f>
        <v>TeeHiggins</v>
      </c>
    </row>
    <row r="60" ht="14.25" hidden="1" customHeight="1">
      <c r="B60" s="3">
        <v>6.0</v>
      </c>
      <c r="C60" s="3">
        <v>8.0</v>
      </c>
      <c r="D60" s="3" t="s">
        <v>11</v>
      </c>
      <c r="E60" s="3" t="str">
        <f t="array" ref="E60">INDEX('2024_Roster_Offseason'!$I$2:$I$301,MATCH(1,('2025_Draft_team'!$D60='2024_Roster_Offseason'!$A$2:$A$301)*('2025_Draft_team'!$B60='2024_Roster_Offseason'!$P$2:$P$301)*('2024_Roster_Offseason'!$Q$2:$Q$301="Y"),0))</f>
        <v>#N/A</v>
      </c>
    </row>
    <row r="61" ht="14.25" hidden="1" customHeight="1">
      <c r="B61" s="2">
        <v>6.0</v>
      </c>
      <c r="C61" s="2">
        <v>9.0</v>
      </c>
      <c r="D61" s="2" t="s">
        <v>12</v>
      </c>
      <c r="E61" s="2" t="str">
        <f t="array" ref="E61">INDEX('2024_Roster_Offseason'!$I$2:$I$301,MATCH(1,('2025_Draft_team'!$D61='2024_Roster_Offseason'!$A$2:$A$301)*('2025_Draft_team'!$B61='2024_Roster_Offseason'!$P$2:$P$301)*('2024_Roster_Offseason'!$Q$2:$Q$301="Y"),0))</f>
        <v>#N/A</v>
      </c>
    </row>
    <row r="62" ht="14.25" hidden="1" customHeight="1">
      <c r="B62" s="3">
        <v>6.0</v>
      </c>
      <c r="C62" s="3">
        <v>10.0</v>
      </c>
      <c r="D62" s="3" t="s">
        <v>13</v>
      </c>
      <c r="E62" s="3" t="str">
        <f t="array" ref="E62">INDEX('2024_Roster_Offseason'!$I$2:$I$301,MATCH(1,('2025_Draft_team'!$D62='2024_Roster_Offseason'!$A$2:$A$301)*('2025_Draft_team'!$B62='2024_Roster_Offseason'!$P$2:$P$301)*('2024_Roster_Offseason'!$Q$2:$Q$301="Y"),0))</f>
        <v>#N/A</v>
      </c>
    </row>
    <row r="63" ht="14.25" hidden="1" customHeight="1">
      <c r="B63" s="2">
        <v>7.0</v>
      </c>
      <c r="C63" s="2">
        <v>1.0</v>
      </c>
      <c r="D63" s="2" t="s">
        <v>4</v>
      </c>
      <c r="E63" s="2" t="str">
        <f t="array" ref="E63">INDEX('2024_Roster_Offseason'!$I$2:$I$301,MATCH(1,('2025_Draft_team'!$D63='2024_Roster_Offseason'!$A$2:$A$301)*('2025_Draft_team'!$B63='2024_Roster_Offseason'!$P$2:$P$301)*('2024_Roster_Offseason'!$Q$2:$Q$301="Y"),0))</f>
        <v>LavonteDavid</v>
      </c>
    </row>
    <row r="64" ht="14.25" hidden="1" customHeight="1">
      <c r="B64" s="3">
        <v>7.0</v>
      </c>
      <c r="C64" s="3">
        <v>2.0</v>
      </c>
      <c r="D64" s="3" t="s">
        <v>5</v>
      </c>
      <c r="E64" s="3" t="str">
        <f t="array" ref="E64">INDEX('2024_Roster_Offseason'!$I$2:$I$301,MATCH(1,('2025_Draft_team'!$D64='2024_Roster_Offseason'!$A$2:$A$301)*('2025_Draft_team'!$B64='2024_Roster_Offseason'!$P$2:$P$301)*('2024_Roster_Offseason'!$Q$2:$Q$301="Y"),0))</f>
        <v>#N/A</v>
      </c>
    </row>
    <row r="65" ht="14.25" customHeight="1">
      <c r="B65" s="2">
        <v>7.0</v>
      </c>
      <c r="C65" s="2">
        <v>3.0</v>
      </c>
      <c r="D65" s="2" t="s">
        <v>6</v>
      </c>
      <c r="E65" s="2" t="str">
        <f t="array" ref="E65">INDEX('2024_Roster_Offseason'!$I$2:$I$301,MATCH(1,('2025_Draft_team'!$D65='2024_Roster_Offseason'!$A$2:$A$301)*('2025_Draft_team'!$B65='2024_Roster_Offseason'!$P$2:$P$301)*('2024_Roster_Offseason'!$Q$2:$Q$301="Y"),0))</f>
        <v>GeorgePickens</v>
      </c>
    </row>
    <row r="66" ht="14.25" hidden="1" customHeight="1">
      <c r="B66" s="3">
        <v>7.0</v>
      </c>
      <c r="C66" s="3">
        <v>4.0</v>
      </c>
      <c r="D66" s="3" t="s">
        <v>7</v>
      </c>
      <c r="E66" s="3" t="str">
        <f t="array" ref="E66">INDEX('2024_Roster_Offseason'!$I$2:$I$301,MATCH(1,('2025_Draft_team'!$D66='2024_Roster_Offseason'!$A$2:$A$301)*('2025_Draft_team'!$B66='2024_Roster_Offseason'!$P$2:$P$301)*('2024_Roster_Offseason'!$Q$2:$Q$301="Y"),0))</f>
        <v>QuincyWilliams</v>
      </c>
    </row>
    <row r="67" ht="14.25" hidden="1" customHeight="1">
      <c r="B67" s="2">
        <v>7.0</v>
      </c>
      <c r="C67" s="2">
        <v>5.0</v>
      </c>
      <c r="D67" s="2" t="s">
        <v>8</v>
      </c>
      <c r="E67" s="2" t="str">
        <f t="array" ref="E67">INDEX('2024_Roster_Offseason'!$I$2:$I$301,MATCH(1,('2025_Draft_team'!$D67='2024_Roster_Offseason'!$A$2:$A$301)*('2025_Draft_team'!$B67='2024_Roster_Offseason'!$P$2:$P$301)*('2024_Roster_Offseason'!$Q$2:$Q$301="Y"),0))</f>
        <v>#N/A</v>
      </c>
    </row>
    <row r="68" ht="14.25" hidden="1" customHeight="1">
      <c r="B68" s="3">
        <v>7.0</v>
      </c>
      <c r="C68" s="3">
        <v>6.0</v>
      </c>
      <c r="D68" s="3" t="s">
        <v>9</v>
      </c>
      <c r="E68" s="3" t="str">
        <f t="array" ref="E68">INDEX('2024_Roster_Offseason'!$I$2:$I$301,MATCH(1,('2025_Draft_team'!$D68='2024_Roster_Offseason'!$A$2:$A$301)*('2025_Draft_team'!$B68='2024_Roster_Offseason'!$P$2:$P$301)*('2024_Roster_Offseason'!$Q$2:$Q$301="Y"),0))</f>
        <v>WillAndersonJr.</v>
      </c>
    </row>
    <row r="69" ht="14.25" hidden="1" customHeight="1">
      <c r="B69" s="2">
        <v>7.0</v>
      </c>
      <c r="C69" s="2">
        <v>7.0</v>
      </c>
      <c r="D69" s="2" t="s">
        <v>10</v>
      </c>
      <c r="E69" s="2" t="str">
        <f t="array" ref="E69">INDEX('2024_Roster_Offseason'!$I$2:$I$301,MATCH(1,('2025_Draft_team'!$D69='2024_Roster_Offseason'!$A$2:$A$301)*('2025_Draft_team'!$B69='2024_Roster_Offseason'!$P$2:$P$301)*('2024_Roster_Offseason'!$Q$2:$Q$301="Y"),0))</f>
        <v>#N/A</v>
      </c>
    </row>
    <row r="70" ht="14.25" hidden="1" customHeight="1">
      <c r="B70" s="3">
        <v>7.0</v>
      </c>
      <c r="C70" s="3">
        <v>8.0</v>
      </c>
      <c r="D70" s="3" t="s">
        <v>11</v>
      </c>
      <c r="E70" s="3" t="str">
        <f t="array" ref="E70">INDEX('2024_Roster_Offseason'!$I$2:$I$301,MATCH(1,('2025_Draft_team'!$D70='2024_Roster_Offseason'!$A$2:$A$301)*('2025_Draft_team'!$B70='2024_Roster_Offseason'!$P$2:$P$301)*('2024_Roster_Offseason'!$Q$2:$Q$301="Y"),0))</f>
        <v>#N/A</v>
      </c>
    </row>
    <row r="71" ht="14.25" hidden="1" customHeight="1">
      <c r="B71" s="2">
        <v>7.0</v>
      </c>
      <c r="C71" s="2">
        <v>9.0</v>
      </c>
      <c r="D71" s="2" t="s">
        <v>12</v>
      </c>
      <c r="E71" s="2" t="str">
        <f t="array" ref="E71">INDEX('2024_Roster_Offseason'!$I$2:$I$301,MATCH(1,('2025_Draft_team'!$D71='2024_Roster_Offseason'!$A$2:$A$301)*('2025_Draft_team'!$B71='2024_Roster_Offseason'!$P$2:$P$301)*('2024_Roster_Offseason'!$Q$2:$Q$301="Y"),0))</f>
        <v>DKMetcalf</v>
      </c>
    </row>
    <row r="72" ht="14.25" hidden="1" customHeight="1">
      <c r="B72" s="3">
        <v>7.0</v>
      </c>
      <c r="C72" s="3">
        <v>10.0</v>
      </c>
      <c r="D72" s="3" t="s">
        <v>13</v>
      </c>
      <c r="E72" s="3" t="str">
        <f t="array" ref="E72">INDEX('2024_Roster_Offseason'!$I$2:$I$301,MATCH(1,('2025_Draft_team'!$D72='2024_Roster_Offseason'!$A$2:$A$301)*('2025_Draft_team'!$B72='2024_Roster_Offseason'!$P$2:$P$301)*('2024_Roster_Offseason'!$Q$2:$Q$301="Y"),0))</f>
        <v>#N/A</v>
      </c>
    </row>
    <row r="73" ht="14.25" hidden="1" customHeight="1">
      <c r="B73" s="2">
        <v>8.0</v>
      </c>
      <c r="C73" s="2">
        <v>1.0</v>
      </c>
      <c r="D73" s="2" t="s">
        <v>4</v>
      </c>
      <c r="E73" s="2" t="str">
        <f t="array" ref="E73">INDEX('2024_Roster_Offseason'!$I$2:$I$301,MATCH(1,('2025_Draft_team'!$D73='2024_Roster_Offseason'!$A$2:$A$301)*('2025_Draft_team'!$B73='2024_Roster_Offseason'!$P$2:$P$301)*('2024_Roster_Offseason'!$Q$2:$Q$301="Y"),0))</f>
        <v>#N/A</v>
      </c>
    </row>
    <row r="74" ht="14.25" hidden="1" customHeight="1">
      <c r="B74" s="3">
        <v>8.0</v>
      </c>
      <c r="C74" s="3">
        <v>2.0</v>
      </c>
      <c r="D74" s="3" t="s">
        <v>5</v>
      </c>
      <c r="E74" s="3" t="str">
        <f t="array" ref="E74">INDEX('2024_Roster_Offseason'!$I$2:$I$301,MATCH(1,('2025_Draft_team'!$D74='2024_Roster_Offseason'!$A$2:$A$301)*('2025_Draft_team'!$B74='2024_Roster_Offseason'!$P$2:$P$301)*('2024_Roster_Offseason'!$Q$2:$Q$301="Y"),0))</f>
        <v>BrockPurdy</v>
      </c>
    </row>
    <row r="75" ht="14.25" customHeight="1">
      <c r="B75" s="2">
        <v>8.0</v>
      </c>
      <c r="C75" s="2">
        <v>3.0</v>
      </c>
      <c r="D75" s="2" t="s">
        <v>6</v>
      </c>
      <c r="E75" s="2" t="str">
        <f t="array" ref="E75">INDEX('2024_Roster_Offseason'!$I$2:$I$301,MATCH(1,('2025_Draft_team'!$D75='2024_Roster_Offseason'!$A$2:$A$301)*('2025_Draft_team'!$B75='2024_Roster_Offseason'!$P$2:$P$301)*('2024_Roster_Offseason'!$Q$2:$Q$301="Y"),0))</f>
        <v>#N/A</v>
      </c>
    </row>
    <row r="76" ht="14.25" hidden="1" customHeight="1">
      <c r="B76" s="3">
        <v>8.0</v>
      </c>
      <c r="C76" s="3">
        <v>4.0</v>
      </c>
      <c r="D76" s="3" t="s">
        <v>7</v>
      </c>
      <c r="E76" s="3" t="str">
        <f t="array" ref="E76">INDEX('2024_Roster_Offseason'!$I$2:$I$301,MATCH(1,('2025_Draft_team'!$D76='2024_Roster_Offseason'!$A$2:$A$301)*('2025_Draft_team'!$B76='2024_Roster_Offseason'!$P$2:$P$301)*('2024_Roster_Offseason'!$Q$2:$Q$301="Y"),0))</f>
        <v>#N/A</v>
      </c>
    </row>
    <row r="77" ht="14.25" hidden="1" customHeight="1">
      <c r="B77" s="2">
        <v>8.0</v>
      </c>
      <c r="C77" s="2">
        <v>5.0</v>
      </c>
      <c r="D77" s="2" t="s">
        <v>8</v>
      </c>
      <c r="E77" s="2" t="str">
        <f t="array" ref="E77">INDEX('2024_Roster_Offseason'!$I$2:$I$301,MATCH(1,('2025_Draft_team'!$D77='2024_Roster_Offseason'!$A$2:$A$301)*('2025_Draft_team'!$B77='2024_Roster_Offseason'!$P$2:$P$301)*('2024_Roster_Offseason'!$Q$2:$Q$301="Y"),0))</f>
        <v>#N/A</v>
      </c>
    </row>
    <row r="78" ht="14.25" hidden="1" customHeight="1">
      <c r="B78" s="3">
        <v>8.0</v>
      </c>
      <c r="C78" s="3">
        <v>6.0</v>
      </c>
      <c r="D78" s="3" t="s">
        <v>9</v>
      </c>
      <c r="E78" s="3" t="str">
        <f t="array" ref="E78">INDEX('2024_Roster_Offseason'!$I$2:$I$301,MATCH(1,('2025_Draft_team'!$D78='2024_Roster_Offseason'!$A$2:$A$301)*('2025_Draft_team'!$B78='2024_Roster_Offseason'!$P$2:$P$301)*('2024_Roster_Offseason'!$Q$2:$Q$301="Y"),0))</f>
        <v>#N/A</v>
      </c>
    </row>
    <row r="79" ht="14.25" hidden="1" customHeight="1">
      <c r="B79" s="2">
        <v>8.0</v>
      </c>
      <c r="C79" s="2">
        <v>7.0</v>
      </c>
      <c r="D79" s="2" t="s">
        <v>10</v>
      </c>
      <c r="E79" s="2" t="str">
        <f t="array" ref="E79">INDEX('2024_Roster_Offseason'!$I$2:$I$301,MATCH(1,('2025_Draft_team'!$D79='2024_Roster_Offseason'!$A$2:$A$301)*('2025_Draft_team'!$B79='2024_Roster_Offseason'!$P$2:$P$301)*('2024_Roster_Offseason'!$Q$2:$Q$301="Y"),0))</f>
        <v>#N/A</v>
      </c>
    </row>
    <row r="80" ht="14.25" hidden="1" customHeight="1">
      <c r="B80" s="3">
        <v>8.0</v>
      </c>
      <c r="C80" s="3">
        <v>8.0</v>
      </c>
      <c r="D80" s="3" t="s">
        <v>11</v>
      </c>
      <c r="E80" s="3" t="str">
        <f t="array" ref="E80">INDEX('2024_Roster_Offseason'!$I$2:$I$301,MATCH(1,('2025_Draft_team'!$D80='2024_Roster_Offseason'!$A$2:$A$301)*('2025_Draft_team'!$B80='2024_Roster_Offseason'!$P$2:$P$301)*('2024_Roster_Offseason'!$Q$2:$Q$301="Y"),0))</f>
        <v>#N/A</v>
      </c>
    </row>
    <row r="81" ht="14.25" hidden="1" customHeight="1">
      <c r="B81" s="2">
        <v>8.0</v>
      </c>
      <c r="C81" s="2">
        <v>9.0</v>
      </c>
      <c r="D81" s="2" t="s">
        <v>12</v>
      </c>
      <c r="E81" s="2" t="str">
        <f t="array" ref="E81">INDEX('2024_Roster_Offseason'!$I$2:$I$301,MATCH(1,('2025_Draft_team'!$D81='2024_Roster_Offseason'!$A$2:$A$301)*('2025_Draft_team'!$B81='2024_Roster_Offseason'!$P$2:$P$301)*('2024_Roster_Offseason'!$Q$2:$Q$301="Y"),0))</f>
        <v>#N/A</v>
      </c>
    </row>
    <row r="82" ht="14.25" hidden="1" customHeight="1">
      <c r="B82" s="3">
        <v>8.0</v>
      </c>
      <c r="C82" s="3">
        <v>10.0</v>
      </c>
      <c r="D82" s="3" t="s">
        <v>13</v>
      </c>
      <c r="E82" s="3" t="str">
        <f t="array" ref="E82">INDEX('2024_Roster_Offseason'!$I$2:$I$301,MATCH(1,('2025_Draft_team'!$D82='2024_Roster_Offseason'!$A$2:$A$301)*('2025_Draft_team'!$B82='2024_Roster_Offseason'!$P$2:$P$301)*('2024_Roster_Offseason'!$Q$2:$Q$301="Y"),0))</f>
        <v>JordanLove</v>
      </c>
    </row>
    <row r="83" ht="14.25" hidden="1" customHeight="1">
      <c r="B83" s="2">
        <v>9.0</v>
      </c>
      <c r="C83" s="2">
        <v>1.0</v>
      </c>
      <c r="D83" s="2" t="s">
        <v>4</v>
      </c>
      <c r="E83" s="2" t="str">
        <f t="array" ref="E83">INDEX('2024_Roster_Offseason'!$I$2:$I$301,MATCH(1,('2025_Draft_team'!$D83='2024_Roster_Offseason'!$A$2:$A$301)*('2025_Draft_team'!$B83='2024_Roster_Offseason'!$P$2:$P$301)*('2024_Roster_Offseason'!$Q$2:$Q$301="Y"),0))</f>
        <v>#N/A</v>
      </c>
    </row>
    <row r="84" ht="14.25" hidden="1" customHeight="1">
      <c r="B84" s="3">
        <v>9.0</v>
      </c>
      <c r="C84" s="3">
        <v>2.0</v>
      </c>
      <c r="D84" s="3" t="s">
        <v>5</v>
      </c>
      <c r="E84" s="3" t="str">
        <f t="array" ref="E84">INDEX('2024_Roster_Offseason'!$I$2:$I$301,MATCH(1,('2025_Draft_team'!$D84='2024_Roster_Offseason'!$A$2:$A$301)*('2025_Draft_team'!$B84='2024_Roster_Offseason'!$P$2:$P$301)*('2024_Roster_Offseason'!$Q$2:$Q$301="Y"),0))</f>
        <v>#N/A</v>
      </c>
    </row>
    <row r="85" ht="14.25" customHeight="1">
      <c r="B85" s="2">
        <v>9.0</v>
      </c>
      <c r="C85" s="2">
        <v>3.0</v>
      </c>
      <c r="D85" s="2" t="s">
        <v>6</v>
      </c>
      <c r="E85" s="2" t="str">
        <f t="array" ref="E85">INDEX('2024_Roster_Offseason'!$I$2:$I$301,MATCH(1,('2025_Draft_team'!$D85='2024_Roster_Offseason'!$A$2:$A$301)*('2025_Draft_team'!$B85='2024_Roster_Offseason'!$P$2:$P$301)*('2024_Roster_Offseason'!$Q$2:$Q$301="Y"),0))</f>
        <v>#N/A</v>
      </c>
    </row>
    <row r="86" ht="14.25" hidden="1" customHeight="1">
      <c r="B86" s="3">
        <v>9.0</v>
      </c>
      <c r="C86" s="3">
        <v>4.0</v>
      </c>
      <c r="D86" s="3" t="s">
        <v>7</v>
      </c>
      <c r="E86" s="3" t="str">
        <f t="array" ref="E86">INDEX('2024_Roster_Offseason'!$I$2:$I$301,MATCH(1,('2025_Draft_team'!$D86='2024_Roster_Offseason'!$A$2:$A$301)*('2025_Draft_team'!$B86='2024_Roster_Offseason'!$P$2:$P$301)*('2024_Roster_Offseason'!$Q$2:$Q$301="Y"),0))</f>
        <v>#N/A</v>
      </c>
    </row>
    <row r="87" ht="14.25" hidden="1" customHeight="1">
      <c r="B87" s="2">
        <v>9.0</v>
      </c>
      <c r="C87" s="2">
        <v>5.0</v>
      </c>
      <c r="D87" s="2" t="s">
        <v>8</v>
      </c>
      <c r="E87" s="2" t="str">
        <f t="array" ref="E87">INDEX('2024_Roster_Offseason'!$I$2:$I$301,MATCH(1,('2025_Draft_team'!$D87='2024_Roster_Offseason'!$A$2:$A$301)*('2025_Draft_team'!$B87='2024_Roster_Offseason'!$P$2:$P$301)*('2024_Roster_Offseason'!$Q$2:$Q$301="Y"),0))</f>
        <v>#N/A</v>
      </c>
    </row>
    <row r="88" ht="14.25" hidden="1" customHeight="1">
      <c r="B88" s="3">
        <v>9.0</v>
      </c>
      <c r="C88" s="3">
        <v>6.0</v>
      </c>
      <c r="D88" s="3" t="s">
        <v>9</v>
      </c>
      <c r="E88" s="3" t="str">
        <f t="array" ref="E88">INDEX('2024_Roster_Offseason'!$I$2:$I$301,MATCH(1,('2025_Draft_team'!$D88='2024_Roster_Offseason'!$A$2:$A$301)*('2025_Draft_team'!$B88='2024_Roster_Offseason'!$P$2:$P$301)*('2024_Roster_Offseason'!$Q$2:$Q$301="Y"),0))</f>
        <v>#N/A</v>
      </c>
    </row>
    <row r="89" ht="14.25" hidden="1" customHeight="1">
      <c r="B89" s="2">
        <v>9.0</v>
      </c>
      <c r="C89" s="2">
        <v>7.0</v>
      </c>
      <c r="D89" s="2" t="s">
        <v>10</v>
      </c>
      <c r="E89" s="2" t="str">
        <f t="array" ref="E89">INDEX('2024_Roster_Offseason'!$I$2:$I$301,MATCH(1,('2025_Draft_team'!$D89='2024_Roster_Offseason'!$A$2:$A$301)*('2025_Draft_team'!$B89='2024_Roster_Offseason'!$P$2:$P$301)*('2024_Roster_Offseason'!$Q$2:$Q$301="Y"),0))</f>
        <v>#N/A</v>
      </c>
    </row>
    <row r="90" ht="14.25" hidden="1" customHeight="1">
      <c r="B90" s="3">
        <v>9.0</v>
      </c>
      <c r="C90" s="3">
        <v>8.0</v>
      </c>
      <c r="D90" s="3" t="s">
        <v>11</v>
      </c>
      <c r="E90" s="3" t="str">
        <f t="array" ref="E90">INDEX('2024_Roster_Offseason'!$I$2:$I$301,MATCH(1,('2025_Draft_team'!$D90='2024_Roster_Offseason'!$A$2:$A$301)*('2025_Draft_team'!$B90='2024_Roster_Offseason'!$P$2:$P$301)*('2024_Roster_Offseason'!$Q$2:$Q$301="Y"),0))</f>
        <v>#N/A</v>
      </c>
    </row>
    <row r="91" ht="14.25" hidden="1" customHeight="1">
      <c r="B91" s="2">
        <v>9.0</v>
      </c>
      <c r="C91" s="2">
        <v>9.0</v>
      </c>
      <c r="D91" s="2" t="s">
        <v>12</v>
      </c>
      <c r="E91" s="2" t="str">
        <f t="array" ref="E91">INDEX('2024_Roster_Offseason'!$I$2:$I$301,MATCH(1,('2025_Draft_team'!$D91='2024_Roster_Offseason'!$A$2:$A$301)*('2025_Draft_team'!$B91='2024_Roster_Offseason'!$P$2:$P$301)*('2024_Roster_Offseason'!$Q$2:$Q$301="Y"),0))</f>
        <v>#N/A</v>
      </c>
    </row>
    <row r="92" ht="14.25" hidden="1" customHeight="1">
      <c r="B92" s="3">
        <v>9.0</v>
      </c>
      <c r="C92" s="3">
        <v>10.0</v>
      </c>
      <c r="D92" s="3" t="s">
        <v>13</v>
      </c>
      <c r="E92" s="3" t="str">
        <f t="array" ref="E92">INDEX('2024_Roster_Offseason'!$I$2:$I$301,MATCH(1,('2025_Draft_team'!$D92='2024_Roster_Offseason'!$A$2:$A$301)*('2025_Draft_team'!$B92='2024_Roster_Offseason'!$P$2:$P$301)*('2024_Roster_Offseason'!$Q$2:$Q$301="Y"),0))</f>
        <v>#N/A</v>
      </c>
    </row>
    <row r="93" ht="14.25" hidden="1" customHeight="1">
      <c r="B93" s="2">
        <v>10.0</v>
      </c>
      <c r="C93" s="2">
        <v>1.0</v>
      </c>
      <c r="D93" s="2" t="s">
        <v>4</v>
      </c>
      <c r="E93" s="2" t="str">
        <f t="array" ref="E93">INDEX('2024_Roster_Offseason'!$I$2:$I$301,MATCH(1,('2025_Draft_team'!$D93='2024_Roster_Offseason'!$A$2:$A$301)*('2025_Draft_team'!$B93='2024_Roster_Offseason'!$P$2:$P$301)*('2024_Roster_Offseason'!$Q$2:$Q$301="Y"),0))</f>
        <v>BakerMayfield</v>
      </c>
    </row>
    <row r="94" ht="14.25" hidden="1" customHeight="1">
      <c r="B94" s="3">
        <v>10.0</v>
      </c>
      <c r="C94" s="3">
        <v>2.0</v>
      </c>
      <c r="D94" s="3" t="s">
        <v>5</v>
      </c>
      <c r="E94" s="3" t="str">
        <f t="array" ref="E94">INDEX('2024_Roster_Offseason'!$I$2:$I$301,MATCH(1,('2025_Draft_team'!$D94='2024_Roster_Offseason'!$A$2:$A$301)*('2025_Draft_team'!$B94='2024_Roster_Offseason'!$P$2:$P$301)*('2024_Roster_Offseason'!$Q$2:$Q$301="Y"),0))</f>
        <v>#N/A</v>
      </c>
    </row>
    <row r="95" ht="14.25" customHeight="1">
      <c r="B95" s="2">
        <v>10.0</v>
      </c>
      <c r="C95" s="2">
        <v>3.0</v>
      </c>
      <c r="D95" s="2" t="s">
        <v>6</v>
      </c>
      <c r="E95" s="2" t="str">
        <f t="array" ref="E95">INDEX('2024_Roster_Offseason'!$I$2:$I$301,MATCH(1,('2025_Draft_team'!$D95='2024_Roster_Offseason'!$A$2:$A$301)*('2025_Draft_team'!$B95='2024_Roster_Offseason'!$P$2:$P$301)*('2024_Roster_Offseason'!$Q$2:$Q$301="Y"),0))</f>
        <v>DemarioDavis</v>
      </c>
    </row>
    <row r="96" ht="14.25" hidden="1" customHeight="1">
      <c r="B96" s="3">
        <v>10.0</v>
      </c>
      <c r="C96" s="3">
        <v>4.0</v>
      </c>
      <c r="D96" s="3" t="s">
        <v>7</v>
      </c>
      <c r="E96" s="3" t="str">
        <f t="array" ref="E96">INDEX('2024_Roster_Offseason'!$I$2:$I$301,MATCH(1,('2025_Draft_team'!$D96='2024_Roster_Offseason'!$A$2:$A$301)*('2025_Draft_team'!$B96='2024_Roster_Offseason'!$P$2:$P$301)*('2024_Roster_Offseason'!$Q$2:$Q$301="Y"),0))</f>
        <v>#N/A</v>
      </c>
    </row>
    <row r="97" ht="14.25" hidden="1" customHeight="1">
      <c r="B97" s="2">
        <v>10.0</v>
      </c>
      <c r="C97" s="2">
        <v>5.0</v>
      </c>
      <c r="D97" s="2" t="s">
        <v>8</v>
      </c>
      <c r="E97" s="2" t="str">
        <f t="array" ref="E97">INDEX('2024_Roster_Offseason'!$I$2:$I$301,MATCH(1,('2025_Draft_team'!$D97='2024_Roster_Offseason'!$A$2:$A$301)*('2025_Draft_team'!$B97='2024_Roster_Offseason'!$P$2:$P$301)*('2024_Roster_Offseason'!$Q$2:$Q$301="Y"),0))</f>
        <v>JackCampbell</v>
      </c>
    </row>
    <row r="98" ht="14.25" hidden="1" customHeight="1">
      <c r="B98" s="3">
        <v>10.0</v>
      </c>
      <c r="C98" s="3">
        <v>6.0</v>
      </c>
      <c r="D98" s="3" t="s">
        <v>9</v>
      </c>
      <c r="E98" s="3" t="str">
        <f t="array" ref="E98">INDEX('2024_Roster_Offseason'!$I$2:$I$301,MATCH(1,('2025_Draft_team'!$D98='2024_Roster_Offseason'!$A$2:$A$301)*('2025_Draft_team'!$B98='2024_Roster_Offseason'!$P$2:$P$301)*('2024_Roster_Offseason'!$Q$2:$Q$301="Y"),0))</f>
        <v>#N/A</v>
      </c>
    </row>
    <row r="99" ht="14.25" hidden="1" customHeight="1">
      <c r="B99" s="2">
        <v>10.0</v>
      </c>
      <c r="C99" s="2">
        <v>7.0</v>
      </c>
      <c r="D99" s="2" t="s">
        <v>10</v>
      </c>
      <c r="E99" s="2" t="str">
        <f t="array" ref="E99">INDEX('2024_Roster_Offseason'!$I$2:$I$301,MATCH(1,('2025_Draft_team'!$D99='2024_Roster_Offseason'!$A$2:$A$301)*('2025_Draft_team'!$B99='2024_Roster_Offseason'!$P$2:$P$301)*('2024_Roster_Offseason'!$Q$2:$Q$301="Y"),0))</f>
        <v>C.J.Stroud</v>
      </c>
    </row>
    <row r="100" ht="14.25" hidden="1" customHeight="1">
      <c r="B100" s="3">
        <v>10.0</v>
      </c>
      <c r="C100" s="3">
        <v>8.0</v>
      </c>
      <c r="D100" s="3" t="s">
        <v>11</v>
      </c>
      <c r="E100" s="3" t="str">
        <f t="array" ref="E100">INDEX('2024_Roster_Offseason'!$I$2:$I$301,MATCH(1,('2025_Draft_team'!$D100='2024_Roster_Offseason'!$A$2:$A$301)*('2025_Draft_team'!$B100='2024_Roster_Offseason'!$P$2:$P$301)*('2024_Roster_Offseason'!$Q$2:$Q$301="Y"),0))</f>
        <v>#N/A</v>
      </c>
    </row>
    <row r="101" ht="14.25" hidden="1" customHeight="1">
      <c r="B101" s="2">
        <v>10.0</v>
      </c>
      <c r="C101" s="2">
        <v>9.0</v>
      </c>
      <c r="D101" s="2" t="s">
        <v>12</v>
      </c>
      <c r="E101" s="2" t="str">
        <f t="array" ref="E101">INDEX('2024_Roster_Offseason'!$I$2:$I$301,MATCH(1,('2025_Draft_team'!$D101='2024_Roster_Offseason'!$A$2:$A$301)*('2025_Draft_team'!$B101='2024_Roster_Offseason'!$P$2:$P$301)*('2024_Roster_Offseason'!$Q$2:$Q$301="Y"),0))</f>
        <v>#N/A</v>
      </c>
    </row>
    <row r="102" ht="14.25" hidden="1" customHeight="1">
      <c r="B102" s="3">
        <v>10.0</v>
      </c>
      <c r="C102" s="3">
        <v>10.0</v>
      </c>
      <c r="D102" s="3" t="s">
        <v>13</v>
      </c>
      <c r="E102" s="3" t="str">
        <f t="array" ref="E102">INDEX('2024_Roster_Offseason'!$I$2:$I$301,MATCH(1,('2025_Draft_team'!$D102='2024_Roster_Offseason'!$A$2:$A$301)*('2025_Draft_team'!$B102='2024_Roster_Offseason'!$P$2:$P$301)*('2024_Roster_Offseason'!$Q$2:$Q$301="Y"),0))</f>
        <v>RomeOdunze</v>
      </c>
    </row>
    <row r="103" ht="14.25" hidden="1" customHeight="1">
      <c r="B103" s="2">
        <v>11.0</v>
      </c>
      <c r="C103" s="2">
        <v>1.0</v>
      </c>
      <c r="D103" s="2" t="s">
        <v>4</v>
      </c>
      <c r="E103" s="2" t="str">
        <f t="array" ref="E103">INDEX('2024_Roster_Offseason'!$I$2:$I$301,MATCH(1,('2025_Draft_team'!$D103='2024_Roster_Offseason'!$A$2:$A$301)*('2025_Draft_team'!$B103='2024_Roster_Offseason'!$P$2:$P$301)*('2024_Roster_Offseason'!$Q$2:$Q$301="Y"),0))</f>
        <v>#N/A</v>
      </c>
    </row>
    <row r="104" ht="14.25" hidden="1" customHeight="1">
      <c r="B104" s="3">
        <v>11.0</v>
      </c>
      <c r="C104" s="3">
        <v>2.0</v>
      </c>
      <c r="D104" s="3" t="s">
        <v>5</v>
      </c>
      <c r="E104" s="3" t="str">
        <f t="array" ref="E104">INDEX('2024_Roster_Offseason'!$I$2:$I$301,MATCH(1,('2025_Draft_team'!$D104='2024_Roster_Offseason'!$A$2:$A$301)*('2025_Draft_team'!$B104='2024_Roster_Offseason'!$P$2:$P$301)*('2024_Roster_Offseason'!$Q$2:$Q$301="Y"),0))</f>
        <v>JessieBatesIII</v>
      </c>
    </row>
    <row r="105" ht="14.25" customHeight="1">
      <c r="B105" s="2">
        <v>11.0</v>
      </c>
      <c r="C105" s="2">
        <v>3.0</v>
      </c>
      <c r="D105" s="2" t="s">
        <v>6</v>
      </c>
      <c r="E105" s="2" t="str">
        <f t="array" ref="E105">INDEX('2024_Roster_Offseason'!$I$2:$I$301,MATCH(1,('2025_Draft_team'!$D105='2024_Roster_Offseason'!$A$2:$A$301)*('2025_Draft_team'!$B105='2024_Roster_Offseason'!$P$2:$P$301)*('2024_Roster_Offseason'!$Q$2:$Q$301="Y"),0))</f>
        <v>#N/A</v>
      </c>
    </row>
    <row r="106" ht="14.25" hidden="1" customHeight="1">
      <c r="B106" s="3">
        <v>11.0</v>
      </c>
      <c r="C106" s="3">
        <v>4.0</v>
      </c>
      <c r="D106" s="3" t="s">
        <v>7</v>
      </c>
      <c r="E106" s="3" t="str">
        <f t="array" ref="E106">INDEX('2024_Roster_Offseason'!$I$2:$I$301,MATCH(1,('2025_Draft_team'!$D106='2024_Roster_Offseason'!$A$2:$A$301)*('2025_Draft_team'!$B106='2024_Roster_Offseason'!$P$2:$P$301)*('2024_Roster_Offseason'!$Q$2:$Q$301="Y"),0))</f>
        <v>KyrenWilliams</v>
      </c>
    </row>
    <row r="107" ht="14.25" hidden="1" customHeight="1">
      <c r="B107" s="2">
        <v>11.0</v>
      </c>
      <c r="C107" s="2">
        <v>5.0</v>
      </c>
      <c r="D107" s="2" t="s">
        <v>8</v>
      </c>
      <c r="E107" s="2" t="str">
        <f t="array" ref="E107">INDEX('2024_Roster_Offseason'!$I$2:$I$301,MATCH(1,('2025_Draft_team'!$D107='2024_Roster_Offseason'!$A$2:$A$301)*('2025_Draft_team'!$B107='2024_Roster_Offseason'!$P$2:$P$301)*('2024_Roster_Offseason'!$Q$2:$Q$301="Y"),0))</f>
        <v>#N/A</v>
      </c>
    </row>
    <row r="108" ht="14.25" hidden="1" customHeight="1">
      <c r="B108" s="3">
        <v>11.0</v>
      </c>
      <c r="C108" s="3">
        <v>6.0</v>
      </c>
      <c r="D108" s="3" t="s">
        <v>9</v>
      </c>
      <c r="E108" s="3" t="str">
        <f t="array" ref="E108">INDEX('2024_Roster_Offseason'!$I$2:$I$301,MATCH(1,('2025_Draft_team'!$D108='2024_Roster_Offseason'!$A$2:$A$301)*('2025_Draft_team'!$B108='2024_Roster_Offseason'!$P$2:$P$301)*('2024_Roster_Offseason'!$Q$2:$Q$301="Y"),0))</f>
        <v>#N/A</v>
      </c>
    </row>
    <row r="109" ht="14.25" hidden="1" customHeight="1">
      <c r="B109" s="2">
        <v>11.0</v>
      </c>
      <c r="C109" s="2">
        <v>7.0</v>
      </c>
      <c r="D109" s="2" t="s">
        <v>10</v>
      </c>
      <c r="E109" s="2" t="str">
        <f t="array" ref="E109">INDEX('2024_Roster_Offseason'!$I$2:$I$301,MATCH(1,('2025_Draft_team'!$D109='2024_Roster_Offseason'!$A$2:$A$301)*('2025_Draft_team'!$B109='2024_Roster_Offseason'!$P$2:$P$301)*('2024_Roster_Offseason'!$Q$2:$Q$301="Y"),0))</f>
        <v>#N/A</v>
      </c>
    </row>
    <row r="110" ht="14.25" hidden="1" customHeight="1">
      <c r="B110" s="3">
        <v>11.0</v>
      </c>
      <c r="C110" s="3">
        <v>8.0</v>
      </c>
      <c r="D110" s="3" t="s">
        <v>11</v>
      </c>
      <c r="E110" s="3" t="str">
        <f t="array" ref="E110">INDEX('2024_Roster_Offseason'!$I$2:$I$301,MATCH(1,('2025_Draft_team'!$D110='2024_Roster_Offseason'!$A$2:$A$301)*('2025_Draft_team'!$B110='2024_Roster_Offseason'!$P$2:$P$301)*('2024_Roster_Offseason'!$Q$2:$Q$301="Y"),0))</f>
        <v>#N/A</v>
      </c>
    </row>
    <row r="111" ht="14.25" hidden="1" customHeight="1">
      <c r="B111" s="2">
        <v>11.0</v>
      </c>
      <c r="C111" s="2">
        <v>9.0</v>
      </c>
      <c r="D111" s="2" t="s">
        <v>12</v>
      </c>
      <c r="E111" s="2" t="str">
        <f t="array" ref="E111">INDEX('2024_Roster_Offseason'!$I$2:$I$301,MATCH(1,('2025_Draft_team'!$D111='2024_Roster_Offseason'!$A$2:$A$301)*('2025_Draft_team'!$B111='2024_Roster_Offseason'!$P$2:$P$301)*('2024_Roster_Offseason'!$Q$2:$Q$301="Y"),0))</f>
        <v>PukaNacua</v>
      </c>
    </row>
    <row r="112" ht="14.25" hidden="1" customHeight="1">
      <c r="B112" s="3">
        <v>11.0</v>
      </c>
      <c r="C112" s="3">
        <v>10.0</v>
      </c>
      <c r="D112" s="3" t="s">
        <v>13</v>
      </c>
      <c r="E112" s="3" t="str">
        <f t="array" ref="E112">INDEX('2024_Roster_Offseason'!$I$2:$I$301,MATCH(1,('2025_Draft_team'!$D112='2024_Roster_Offseason'!$A$2:$A$301)*('2025_Draft_team'!$B112='2024_Roster_Offseason'!$P$2:$P$301)*('2024_Roster_Offseason'!$Q$2:$Q$301="Y"),0))</f>
        <v>JamesCook</v>
      </c>
    </row>
    <row r="113" ht="14.25" hidden="1" customHeight="1">
      <c r="B113" s="2">
        <v>12.0</v>
      </c>
      <c r="C113" s="2">
        <v>1.0</v>
      </c>
      <c r="D113" s="2" t="s">
        <v>4</v>
      </c>
      <c r="E113" s="2" t="str">
        <f t="array" ref="E113">INDEX('2024_Roster_Offseason'!$I$2:$I$301,MATCH(1,('2025_Draft_team'!$D113='2024_Roster_Offseason'!$A$2:$A$301)*('2025_Draft_team'!$B113='2024_Roster_Offseason'!$P$2:$P$301)*('2024_Roster_Offseason'!$Q$2:$Q$301="Y"),0))</f>
        <v>#N/A</v>
      </c>
    </row>
    <row r="114" ht="14.25" hidden="1" customHeight="1">
      <c r="B114" s="3">
        <v>12.0</v>
      </c>
      <c r="C114" s="3">
        <v>2.0</v>
      </c>
      <c r="D114" s="3" t="s">
        <v>5</v>
      </c>
      <c r="E114" s="3" t="str">
        <f t="array" ref="E114">INDEX('2024_Roster_Offseason'!$I$2:$I$301,MATCH(1,('2025_Draft_team'!$D114='2024_Roster_Offseason'!$A$2:$A$301)*('2025_Draft_team'!$B114='2024_Roster_Offseason'!$P$2:$P$301)*('2024_Roster_Offseason'!$Q$2:$Q$301="Y"),0))</f>
        <v>#N/A</v>
      </c>
    </row>
    <row r="115" ht="14.25" customHeight="1">
      <c r="B115" s="2">
        <v>12.0</v>
      </c>
      <c r="C115" s="2">
        <v>3.0</v>
      </c>
      <c r="D115" s="2" t="s">
        <v>6</v>
      </c>
      <c r="E115" s="2" t="str">
        <f t="array" ref="E115">INDEX('2024_Roster_Offseason'!$I$2:$I$301,MATCH(1,('2025_Draft_team'!$D115='2024_Roster_Offseason'!$A$2:$A$301)*('2025_Draft_team'!$B115='2024_Roster_Offseason'!$P$2:$P$301)*('2024_Roster_Offseason'!$Q$2:$Q$301="Y"),0))</f>
        <v>JaydenReed</v>
      </c>
    </row>
    <row r="116" ht="14.25" hidden="1" customHeight="1">
      <c r="B116" s="3">
        <v>12.0</v>
      </c>
      <c r="C116" s="3">
        <v>4.0</v>
      </c>
      <c r="D116" s="3" t="s">
        <v>7</v>
      </c>
      <c r="E116" s="3" t="str">
        <f t="array" ref="E116">INDEX('2024_Roster_Offseason'!$I$2:$I$301,MATCH(1,('2025_Draft_team'!$D116='2024_Roster_Offseason'!$A$2:$A$301)*('2025_Draft_team'!$B116='2024_Roster_Offseason'!$P$2:$P$301)*('2024_Roster_Offseason'!$Q$2:$Q$301="Y"),0))</f>
        <v>BlakeCashman</v>
      </c>
    </row>
    <row r="117" ht="14.25" hidden="1" customHeight="1">
      <c r="B117" s="2">
        <v>12.0</v>
      </c>
      <c r="C117" s="2">
        <v>5.0</v>
      </c>
      <c r="D117" s="2" t="s">
        <v>8</v>
      </c>
      <c r="E117" s="2" t="str">
        <f t="array" ref="E117">INDEX('2024_Roster_Offseason'!$I$2:$I$301,MATCH(1,('2025_Draft_team'!$D117='2024_Roster_Offseason'!$A$2:$A$301)*('2025_Draft_team'!$B117='2024_Roster_Offseason'!$P$2:$P$301)*('2024_Roster_Offseason'!$Q$2:$Q$301="Y"),0))</f>
        <v>#N/A</v>
      </c>
    </row>
    <row r="118" ht="14.25" hidden="1" customHeight="1">
      <c r="B118" s="3">
        <v>12.0</v>
      </c>
      <c r="C118" s="3">
        <v>6.0</v>
      </c>
      <c r="D118" s="3" t="s">
        <v>9</v>
      </c>
      <c r="E118" s="3" t="str">
        <f t="array" ref="E118">INDEX('2024_Roster_Offseason'!$I$2:$I$301,MATCH(1,('2025_Draft_team'!$D118='2024_Roster_Offseason'!$A$2:$A$301)*('2025_Draft_team'!$B118='2024_Roster_Offseason'!$P$2:$P$301)*('2024_Roster_Offseason'!$Q$2:$Q$301="Y"),0))</f>
        <v>RasheeRice</v>
      </c>
    </row>
    <row r="119" ht="14.25" hidden="1" customHeight="1">
      <c r="B119" s="2">
        <v>12.0</v>
      </c>
      <c r="C119" s="2">
        <v>7.0</v>
      </c>
      <c r="D119" s="2" t="s">
        <v>10</v>
      </c>
      <c r="E119" s="2" t="str">
        <f t="array" ref="E119">INDEX('2024_Roster_Offseason'!$I$2:$I$301,MATCH(1,('2025_Draft_team'!$D119='2024_Roster_Offseason'!$A$2:$A$301)*('2025_Draft_team'!$B119='2024_Roster_Offseason'!$P$2:$P$301)*('2024_Roster_Offseason'!$Q$2:$Q$301="Y"),0))</f>
        <v>#N/A</v>
      </c>
    </row>
    <row r="120" ht="14.25" hidden="1" customHeight="1">
      <c r="B120" s="3">
        <v>12.0</v>
      </c>
      <c r="C120" s="3">
        <v>8.0</v>
      </c>
      <c r="D120" s="3" t="s">
        <v>11</v>
      </c>
      <c r="E120" s="3" t="str">
        <f t="array" ref="E120">INDEX('2024_Roster_Offseason'!$I$2:$I$301,MATCH(1,('2025_Draft_team'!$D120='2024_Roster_Offseason'!$A$2:$A$301)*('2025_Draft_team'!$B120='2024_Roster_Offseason'!$P$2:$P$301)*('2024_Roster_Offseason'!$Q$2:$Q$301="Y"),0))</f>
        <v>#N/A</v>
      </c>
    </row>
    <row r="121" ht="14.25" hidden="1" customHeight="1">
      <c r="B121" s="2">
        <v>12.0</v>
      </c>
      <c r="C121" s="2">
        <v>9.0</v>
      </c>
      <c r="D121" s="2" t="s">
        <v>12</v>
      </c>
      <c r="E121" s="2" t="str">
        <f t="array" ref="E121">INDEX('2024_Roster_Offseason'!$I$2:$I$301,MATCH(1,('2025_Draft_team'!$D121='2024_Roster_Offseason'!$A$2:$A$301)*('2025_Draft_team'!$B121='2024_Roster_Offseason'!$P$2:$P$301)*('2024_Roster_Offseason'!$Q$2:$Q$301="Y"),0))</f>
        <v>#N/A</v>
      </c>
    </row>
    <row r="122" ht="14.25" hidden="1" customHeight="1">
      <c r="B122" s="3">
        <v>12.0</v>
      </c>
      <c r="C122" s="3">
        <v>10.0</v>
      </c>
      <c r="D122" s="3" t="s">
        <v>13</v>
      </c>
      <c r="E122" s="3" t="str">
        <f t="array" ref="E122">INDEX('2024_Roster_Offseason'!$I$2:$I$301,MATCH(1,('2025_Draft_team'!$D122='2024_Roster_Offseason'!$A$2:$A$301)*('2025_Draft_team'!$B122='2024_Roster_Offseason'!$P$2:$P$301)*('2024_Roster_Offseason'!$Q$2:$Q$301="Y"),0))</f>
        <v>#N/A</v>
      </c>
    </row>
    <row r="123" ht="14.25" hidden="1" customHeight="1">
      <c r="B123" s="2">
        <v>13.0</v>
      </c>
      <c r="C123" s="2">
        <v>1.0</v>
      </c>
      <c r="D123" s="2" t="s">
        <v>4</v>
      </c>
      <c r="E123" s="2" t="str">
        <f t="array" ref="E123">INDEX('2024_Roster_Offseason'!$I$2:$I$301,MATCH(1,('2025_Draft_team'!$D123='2024_Roster_Offseason'!$A$2:$A$301)*('2025_Draft_team'!$B123='2024_Roster_Offseason'!$P$2:$P$301)*('2024_Roster_Offseason'!$Q$2:$Q$301="Y"),0))</f>
        <v>#N/A</v>
      </c>
    </row>
    <row r="124" ht="14.25" hidden="1" customHeight="1">
      <c r="B124" s="3">
        <v>13.0</v>
      </c>
      <c r="C124" s="3">
        <v>2.0</v>
      </c>
      <c r="D124" s="3" t="s">
        <v>5</v>
      </c>
      <c r="E124" s="3" t="str">
        <f t="array" ref="E124">INDEX('2024_Roster_Offseason'!$I$2:$I$301,MATCH(1,('2025_Draft_team'!$D124='2024_Roster_Offseason'!$A$2:$A$301)*('2025_Draft_team'!$B124='2024_Roster_Offseason'!$P$2:$P$301)*('2024_Roster_Offseason'!$Q$2:$Q$301="Y"),0))</f>
        <v>TerryMcLaurin</v>
      </c>
    </row>
    <row r="125" ht="14.25" customHeight="1">
      <c r="B125" s="2">
        <v>13.0</v>
      </c>
      <c r="C125" s="2">
        <v>3.0</v>
      </c>
      <c r="D125" s="2" t="s">
        <v>6</v>
      </c>
      <c r="E125" s="2" t="str">
        <f t="array" ref="E125">INDEX('2024_Roster_Offseason'!$I$2:$I$301,MATCH(1,('2025_Draft_team'!$D125='2024_Roster_Offseason'!$A$2:$A$301)*('2025_Draft_team'!$B125='2024_Roster_Offseason'!$P$2:$P$301)*('2024_Roster_Offseason'!$Q$2:$Q$301="Y"),0))</f>
        <v>#N/A</v>
      </c>
    </row>
    <row r="126" ht="14.25" hidden="1" customHeight="1">
      <c r="B126" s="3">
        <v>13.0</v>
      </c>
      <c r="C126" s="3">
        <v>4.0</v>
      </c>
      <c r="D126" s="3" t="s">
        <v>7</v>
      </c>
      <c r="E126" s="3" t="str">
        <f t="array" ref="E126">INDEX('2024_Roster_Offseason'!$I$2:$I$301,MATCH(1,('2025_Draft_team'!$D126='2024_Roster_Offseason'!$A$2:$A$301)*('2025_Draft_team'!$B126='2024_Roster_Offseason'!$P$2:$P$301)*('2024_Roster_Offseason'!$Q$2:$Q$301="Y"),0))</f>
        <v>ZayFlowers</v>
      </c>
    </row>
    <row r="127" ht="14.25" hidden="1" customHeight="1">
      <c r="B127" s="2">
        <v>13.0</v>
      </c>
      <c r="C127" s="2">
        <v>5.0</v>
      </c>
      <c r="D127" s="2" t="s">
        <v>8</v>
      </c>
      <c r="E127" s="2" t="str">
        <f t="array" ref="E127">INDEX('2024_Roster_Offseason'!$I$2:$I$301,MATCH(1,('2025_Draft_team'!$D127='2024_Roster_Offseason'!$A$2:$A$301)*('2025_Draft_team'!$B127='2024_Roster_Offseason'!$P$2:$P$301)*('2024_Roster_Offseason'!$Q$2:$Q$301="Y"),0))</f>
        <v>#N/A</v>
      </c>
    </row>
    <row r="128" ht="14.25" hidden="1" customHeight="1">
      <c r="B128" s="3">
        <v>13.0</v>
      </c>
      <c r="C128" s="3">
        <v>6.0</v>
      </c>
      <c r="D128" s="3" t="s">
        <v>9</v>
      </c>
      <c r="E128" s="3" t="str">
        <f t="array" ref="E128">INDEX('2024_Roster_Offseason'!$I$2:$I$301,MATCH(1,('2025_Draft_team'!$D128='2024_Roster_Offseason'!$A$2:$A$301)*('2025_Draft_team'!$B128='2024_Roster_Offseason'!$P$2:$P$301)*('2024_Roster_Offseason'!$Q$2:$Q$301="Y"),0))</f>
        <v>#N/A</v>
      </c>
    </row>
    <row r="129" ht="14.25" hidden="1" customHeight="1">
      <c r="B129" s="2">
        <v>13.0</v>
      </c>
      <c r="C129" s="2">
        <v>7.0</v>
      </c>
      <c r="D129" s="2" t="s">
        <v>10</v>
      </c>
      <c r="E129" s="2" t="str">
        <f t="array" ref="E129">INDEX('2024_Roster_Offseason'!$I$2:$I$301,MATCH(1,('2025_Draft_team'!$D129='2024_Roster_Offseason'!$A$2:$A$301)*('2025_Draft_team'!$B129='2024_Roster_Offseason'!$P$2:$P$301)*('2024_Roster_Offseason'!$Q$2:$Q$301="Y"),0))</f>
        <v>#N/A</v>
      </c>
    </row>
    <row r="130" ht="14.25" hidden="1" customHeight="1">
      <c r="B130" s="3">
        <v>13.0</v>
      </c>
      <c r="C130" s="3">
        <v>8.0</v>
      </c>
      <c r="D130" s="3" t="s">
        <v>11</v>
      </c>
      <c r="E130" s="3" t="str">
        <f t="array" ref="E130">INDEX('2024_Roster_Offseason'!$I$2:$I$301,MATCH(1,('2025_Draft_team'!$D130='2024_Roster_Offseason'!$A$2:$A$301)*('2025_Draft_team'!$B130='2024_Roster_Offseason'!$P$2:$P$301)*('2024_Roster_Offseason'!$Q$2:$Q$301="Y"),0))</f>
        <v>#N/A</v>
      </c>
    </row>
    <row r="131" ht="14.25" hidden="1" customHeight="1">
      <c r="B131" s="2">
        <v>13.0</v>
      </c>
      <c r="C131" s="2">
        <v>9.0</v>
      </c>
      <c r="D131" s="2" t="s">
        <v>12</v>
      </c>
      <c r="E131" s="2" t="str">
        <f t="array" ref="E131">INDEX('2024_Roster_Offseason'!$I$2:$I$301,MATCH(1,('2025_Draft_team'!$D131='2024_Roster_Offseason'!$A$2:$A$301)*('2025_Draft_team'!$B131='2024_Roster_Offseason'!$P$2:$P$301)*('2024_Roster_Offseason'!$Q$2:$Q$301="Y"),0))</f>
        <v>#N/A</v>
      </c>
    </row>
    <row r="132" ht="14.25" hidden="1" customHeight="1">
      <c r="B132" s="3">
        <v>13.0</v>
      </c>
      <c r="C132" s="3">
        <v>10.0</v>
      </c>
      <c r="D132" s="3" t="s">
        <v>13</v>
      </c>
      <c r="E132" s="3" t="str">
        <f t="array" ref="E132">INDEX('2024_Roster_Offseason'!$I$2:$I$301,MATCH(1,('2025_Draft_team'!$D132='2024_Roster_Offseason'!$A$2:$A$301)*('2025_Draft_team'!$B132='2024_Roster_Offseason'!$P$2:$P$301)*('2024_Roster_Offseason'!$Q$2:$Q$301="Y"),0))</f>
        <v>KylerMurray</v>
      </c>
    </row>
    <row r="133" ht="14.25" hidden="1" customHeight="1">
      <c r="B133" s="2">
        <v>14.0</v>
      </c>
      <c r="C133" s="2">
        <v>1.0</v>
      </c>
      <c r="D133" s="2" t="s">
        <v>4</v>
      </c>
      <c r="E133" s="2" t="str">
        <f t="array" ref="E133">INDEX('2024_Roster_Offseason'!$I$2:$I$301,MATCH(1,('2025_Draft_team'!$D133='2024_Roster_Offseason'!$A$2:$A$301)*('2025_Draft_team'!$B133='2024_Roster_Offseason'!$P$2:$P$301)*('2024_Roster_Offseason'!$Q$2:$Q$301="Y"),0))</f>
        <v>#N/A</v>
      </c>
    </row>
    <row r="134" ht="14.25" hidden="1" customHeight="1">
      <c r="B134" s="3">
        <v>14.0</v>
      </c>
      <c r="C134" s="3">
        <v>2.0</v>
      </c>
      <c r="D134" s="3" t="s">
        <v>5</v>
      </c>
      <c r="E134" s="3" t="str">
        <f t="array" ref="E134">INDEX('2024_Roster_Offseason'!$I$2:$I$301,MATCH(1,('2025_Draft_team'!$D134='2024_Roster_Offseason'!$A$2:$A$301)*('2025_Draft_team'!$B134='2024_Roster_Offseason'!$P$2:$P$301)*('2024_Roster_Offseason'!$Q$2:$Q$301="Y"),0))</f>
        <v>#N/A</v>
      </c>
    </row>
    <row r="135" ht="14.25" customHeight="1">
      <c r="B135" s="2">
        <v>14.0</v>
      </c>
      <c r="C135" s="2">
        <v>3.0</v>
      </c>
      <c r="D135" s="2" t="s">
        <v>6</v>
      </c>
      <c r="E135" s="2" t="str">
        <f t="array" ref="E135">INDEX('2024_Roster_Offseason'!$I$2:$I$301,MATCH(1,('2025_Draft_team'!$D135='2024_Roster_Offseason'!$A$2:$A$301)*('2025_Draft_team'!$B135='2024_Roster_Offseason'!$P$2:$P$301)*('2024_Roster_Offseason'!$Q$2:$Q$301="Y"),0))</f>
        <v>#N/A</v>
      </c>
    </row>
    <row r="136" ht="14.25" hidden="1" customHeight="1">
      <c r="B136" s="3">
        <v>14.0</v>
      </c>
      <c r="C136" s="3">
        <v>4.0</v>
      </c>
      <c r="D136" s="3" t="s">
        <v>7</v>
      </c>
      <c r="E136" s="3" t="str">
        <f t="array" ref="E136">INDEX('2024_Roster_Offseason'!$I$2:$I$301,MATCH(1,('2025_Draft_team'!$D136='2024_Roster_Offseason'!$A$2:$A$301)*('2025_Draft_team'!$B136='2024_Roster_Offseason'!$P$2:$P$301)*('2024_Roster_Offseason'!$Q$2:$Q$301="Y"),0))</f>
        <v>DavidMontgomery</v>
      </c>
    </row>
    <row r="137" ht="14.25" hidden="1" customHeight="1">
      <c r="B137" s="2">
        <v>14.0</v>
      </c>
      <c r="C137" s="2">
        <v>5.0</v>
      </c>
      <c r="D137" s="2" t="s">
        <v>8</v>
      </c>
      <c r="E137" s="2" t="str">
        <f t="array" ref="E137">INDEX('2024_Roster_Offseason'!$I$2:$I$301,MATCH(1,('2025_Draft_team'!$D137='2024_Roster_Offseason'!$A$2:$A$301)*('2025_Draft_team'!$B137='2024_Roster_Offseason'!$P$2:$P$301)*('2024_Roster_Offseason'!$Q$2:$Q$301="Y"),0))</f>
        <v>#N/A</v>
      </c>
    </row>
    <row r="138" ht="14.25" hidden="1" customHeight="1">
      <c r="B138" s="3">
        <v>14.0</v>
      </c>
      <c r="C138" s="3">
        <v>6.0</v>
      </c>
      <c r="D138" s="3" t="s">
        <v>9</v>
      </c>
      <c r="E138" s="3" t="str">
        <f t="array" ref="E138">INDEX('2024_Roster_Offseason'!$I$2:$I$301,MATCH(1,('2025_Draft_team'!$D138='2024_Roster_Offseason'!$A$2:$A$301)*('2025_Draft_team'!$B138='2024_Roster_Offseason'!$P$2:$P$301)*('2024_Roster_Offseason'!$Q$2:$Q$301="Y"),0))</f>
        <v>#N/A</v>
      </c>
    </row>
    <row r="139" ht="14.25" hidden="1" customHeight="1">
      <c r="B139" s="2">
        <v>14.0</v>
      </c>
      <c r="C139" s="2">
        <v>7.0</v>
      </c>
      <c r="D139" s="2" t="s">
        <v>10</v>
      </c>
      <c r="E139" s="2" t="str">
        <f t="array" ref="E139">INDEX('2024_Roster_Offseason'!$I$2:$I$301,MATCH(1,('2025_Draft_team'!$D139='2024_Roster_Offseason'!$A$2:$A$301)*('2025_Draft_team'!$B139='2024_Roster_Offseason'!$P$2:$P$301)*('2024_Roster_Offseason'!$Q$2:$Q$301="Y"),0))</f>
        <v>#N/A</v>
      </c>
    </row>
    <row r="140" ht="14.25" hidden="1" customHeight="1">
      <c r="B140" s="3">
        <v>14.0</v>
      </c>
      <c r="C140" s="3">
        <v>8.0</v>
      </c>
      <c r="D140" s="3" t="s">
        <v>11</v>
      </c>
      <c r="E140" s="3" t="str">
        <f t="array" ref="E140">INDEX('2024_Roster_Offseason'!$I$2:$I$301,MATCH(1,('2025_Draft_team'!$D140='2024_Roster_Offseason'!$A$2:$A$301)*('2025_Draft_team'!$B140='2024_Roster_Offseason'!$P$2:$P$301)*('2024_Roster_Offseason'!$Q$2:$Q$301="Y"),0))</f>
        <v>#N/A</v>
      </c>
    </row>
    <row r="141" ht="14.25" hidden="1" customHeight="1">
      <c r="B141" s="2">
        <v>14.0</v>
      </c>
      <c r="C141" s="2">
        <v>9.0</v>
      </c>
      <c r="D141" s="2" t="s">
        <v>12</v>
      </c>
      <c r="E141" s="2" t="str">
        <f t="array" ref="E141">INDEX('2024_Roster_Offseason'!$I$2:$I$301,MATCH(1,('2025_Draft_team'!$D141='2024_Roster_Offseason'!$A$2:$A$301)*('2025_Draft_team'!$B141='2024_Roster_Offseason'!$P$2:$P$301)*('2024_Roster_Offseason'!$Q$2:$Q$301="Y"),0))</f>
        <v>KadenElliss</v>
      </c>
    </row>
    <row r="142" ht="14.25" hidden="1" customHeight="1">
      <c r="B142" s="3">
        <v>14.0</v>
      </c>
      <c r="C142" s="3">
        <v>10.0</v>
      </c>
      <c r="D142" s="3" t="s">
        <v>13</v>
      </c>
      <c r="E142" s="3" t="str">
        <f t="array" ref="E142">INDEX('2024_Roster_Offseason'!$I$2:$I$301,MATCH(1,('2025_Draft_team'!$D142='2024_Roster_Offseason'!$A$2:$A$301)*('2025_Draft_team'!$B142='2024_Roster_Offseason'!$P$2:$P$301)*('2024_Roster_Offseason'!$Q$2:$Q$301="Y"),0))</f>
        <v>#N/A</v>
      </c>
    </row>
    <row r="143" ht="14.25" hidden="1" customHeight="1">
      <c r="B143" s="2">
        <v>15.0</v>
      </c>
      <c r="C143" s="2">
        <v>1.0</v>
      </c>
      <c r="D143" s="2" t="s">
        <v>4</v>
      </c>
      <c r="E143" s="2" t="str">
        <f t="array" ref="E143">INDEX('2024_Roster_Offseason'!$I$2:$I$301,MATCH(1,('2025_Draft_team'!$D143='2024_Roster_Offseason'!$A$2:$A$301)*('2025_Draft_team'!$B143='2024_Roster_Offseason'!$P$2:$P$301)*('2024_Roster_Offseason'!$Q$2:$Q$301="Y"),0))</f>
        <v>#N/A</v>
      </c>
    </row>
    <row r="144" ht="14.25" hidden="1" customHeight="1">
      <c r="B144" s="3">
        <v>15.0</v>
      </c>
      <c r="C144" s="3">
        <v>2.0</v>
      </c>
      <c r="D144" s="3" t="s">
        <v>5</v>
      </c>
      <c r="E144" s="3" t="str">
        <f t="array" ref="E144">INDEX('2024_Roster_Offseason'!$I$2:$I$301,MATCH(1,('2025_Draft_team'!$D144='2024_Roster_Offseason'!$A$2:$A$301)*('2025_Draft_team'!$B144='2024_Roster_Offseason'!$P$2:$P$301)*('2024_Roster_Offseason'!$Q$2:$Q$301="Y"),0))</f>
        <v>JauanJennings</v>
      </c>
    </row>
    <row r="145" ht="14.25" customHeight="1">
      <c r="B145" s="2">
        <v>15.0</v>
      </c>
      <c r="C145" s="2">
        <v>3.0</v>
      </c>
      <c r="D145" s="2" t="s">
        <v>6</v>
      </c>
      <c r="E145" s="2" t="str">
        <f t="array" ref="E145">INDEX('2024_Roster_Offseason'!$I$2:$I$301,MATCH(1,('2025_Draft_team'!$D145='2024_Roster_Offseason'!$A$2:$A$301)*('2025_Draft_team'!$B145='2024_Roster_Offseason'!$P$2:$P$301)*('2024_Roster_Offseason'!$Q$2:$Q$301="Y"),0))</f>
        <v>MichaelPenixJr.</v>
      </c>
    </row>
    <row r="146" ht="14.25" hidden="1" customHeight="1">
      <c r="B146" s="3">
        <v>15.0</v>
      </c>
      <c r="C146" s="3">
        <v>4.0</v>
      </c>
      <c r="D146" s="3" t="s">
        <v>7</v>
      </c>
      <c r="E146" s="3" t="str">
        <f t="array" ref="E146">INDEX('2024_Roster_Offseason'!$I$2:$I$301,MATCH(1,('2025_Draft_team'!$D146='2024_Roster_Offseason'!$A$2:$A$301)*('2025_Draft_team'!$B146='2024_Roster_Offseason'!$P$2:$P$301)*('2024_Roster_Offseason'!$Q$2:$Q$301="Y"),0))</f>
        <v>AndrewVanGinkel</v>
      </c>
    </row>
    <row r="147" ht="14.25" hidden="1" customHeight="1">
      <c r="B147" s="2">
        <v>15.0</v>
      </c>
      <c r="C147" s="2">
        <v>5.0</v>
      </c>
      <c r="D147" s="2" t="s">
        <v>8</v>
      </c>
      <c r="E147" s="2" t="str">
        <f t="array" ref="E147">INDEX('2024_Roster_Offseason'!$I$2:$I$301,MATCH(1,('2025_Draft_team'!$D147='2024_Roster_Offseason'!$A$2:$A$301)*('2025_Draft_team'!$B147='2024_Roster_Offseason'!$P$2:$P$301)*('2024_Roster_Offseason'!$Q$2:$Q$301="Y"),0))</f>
        <v>DevinLloyd</v>
      </c>
    </row>
    <row r="148" ht="14.25" hidden="1" customHeight="1">
      <c r="B148" s="3">
        <v>15.0</v>
      </c>
      <c r="C148" s="3">
        <v>6.0</v>
      </c>
      <c r="D148" s="3" t="s">
        <v>9</v>
      </c>
      <c r="E148" s="3" t="str">
        <f t="array" ref="E148">INDEX('2024_Roster_Offseason'!$I$2:$I$301,MATCH(1,('2025_Draft_team'!$D148='2024_Roster_Offseason'!$A$2:$A$301)*('2025_Draft_team'!$B148='2024_Roster_Offseason'!$P$2:$P$301)*('2024_Roster_Offseason'!$Q$2:$Q$301="Y"),0))</f>
        <v>JamienSherwood</v>
      </c>
    </row>
    <row r="149" ht="14.25" hidden="1" customHeight="1">
      <c r="B149" s="2">
        <v>15.0</v>
      </c>
      <c r="C149" s="2">
        <v>7.0</v>
      </c>
      <c r="D149" s="2" t="s">
        <v>10</v>
      </c>
      <c r="E149" s="2" t="str">
        <f t="array" ref="E149">INDEX('2024_Roster_Offseason'!$I$2:$I$301,MATCH(1,('2025_Draft_team'!$D149='2024_Roster_Offseason'!$A$2:$A$301)*('2025_Draft_team'!$B149='2024_Roster_Offseason'!$P$2:$P$301)*('2024_Roster_Offseason'!$Q$2:$Q$301="Y"),0))</f>
        <v>AkeemDavis-Gaither</v>
      </c>
    </row>
    <row r="150" ht="14.25" hidden="1" customHeight="1">
      <c r="B150" s="3">
        <v>15.0</v>
      </c>
      <c r="C150" s="3">
        <v>8.0</v>
      </c>
      <c r="D150" s="3" t="s">
        <v>11</v>
      </c>
      <c r="E150" s="3" t="str">
        <f t="array" ref="E150">INDEX('2024_Roster_Offseason'!$I$2:$I$301,MATCH(1,('2025_Draft_team'!$D150='2024_Roster_Offseason'!$A$2:$A$301)*('2025_Draft_team'!$B150='2024_Roster_Offseason'!$P$2:$P$301)*('2024_Roster_Offseason'!$Q$2:$Q$301="Y"),0))</f>
        <v>ZackBaun</v>
      </c>
    </row>
    <row r="151" ht="14.25" hidden="1" customHeight="1">
      <c r="B151" s="2">
        <v>15.0</v>
      </c>
      <c r="C151" s="2">
        <v>9.0</v>
      </c>
      <c r="D151" s="2" t="s">
        <v>12</v>
      </c>
      <c r="E151" s="2" t="str">
        <f t="array" ref="E151">INDEX('2024_Roster_Offseason'!$I$2:$I$301,MATCH(1,('2025_Draft_team'!$D151='2024_Roster_Offseason'!$A$2:$A$301)*('2025_Draft_team'!$B151='2024_Roster_Offseason'!$P$2:$P$301)*('2024_Roster_Offseason'!$Q$2:$Q$301="Y"),0))</f>
        <v>D'AndreSwift</v>
      </c>
    </row>
    <row r="152" ht="14.25" hidden="1" customHeight="1">
      <c r="B152" s="3">
        <v>15.0</v>
      </c>
      <c r="C152" s="3">
        <v>10.0</v>
      </c>
      <c r="D152" s="3" t="s">
        <v>13</v>
      </c>
      <c r="E152" s="3" t="str">
        <f t="array" ref="E152">INDEX('2024_Roster_Offseason'!$I$2:$I$301,MATCH(1,('2025_Draft_team'!$D152='2024_Roster_Offseason'!$A$2:$A$301)*('2025_Draft_team'!$B152='2024_Roster_Offseason'!$P$2:$P$301)*('2024_Roster_Offseason'!$Q$2:$Q$301="Y"),0))</f>
        <v>EdgerrinCooper</v>
      </c>
    </row>
    <row r="153" ht="14.25" hidden="1" customHeight="1">
      <c r="B153" s="2">
        <v>16.0</v>
      </c>
      <c r="C153" s="2">
        <v>1.0</v>
      </c>
      <c r="D153" s="2" t="s">
        <v>4</v>
      </c>
      <c r="E153" s="2" t="str">
        <f t="array" ref="E153">INDEX('2024_Roster_Offseason'!$I$2:$I$301,MATCH(1,('2025_Draft_team'!$D153='2024_Roster_Offseason'!$A$2:$A$301)*('2025_Draft_team'!$B153='2024_Roster_Offseason'!$P$2:$P$301)*('2024_Roster_Offseason'!$Q$2:$Q$301="Y"),0))</f>
        <v>#N/A</v>
      </c>
    </row>
    <row r="154" ht="14.25" hidden="1" customHeight="1">
      <c r="B154" s="3">
        <v>16.0</v>
      </c>
      <c r="C154" s="3">
        <v>2.0</v>
      </c>
      <c r="D154" s="3" t="s">
        <v>5</v>
      </c>
      <c r="E154" s="3" t="str">
        <f t="array" ref="E154">INDEX('2024_Roster_Offseason'!$I$2:$I$301,MATCH(1,('2025_Draft_team'!$D154='2024_Roster_Offseason'!$A$2:$A$301)*('2025_Draft_team'!$B154='2024_Roster_Offseason'!$P$2:$P$301)*('2024_Roster_Offseason'!$Q$2:$Q$301="Y"),0))</f>
        <v>#N/A</v>
      </c>
    </row>
    <row r="155" ht="14.25" customHeight="1">
      <c r="B155" s="2">
        <v>16.0</v>
      </c>
      <c r="C155" s="2">
        <v>3.0</v>
      </c>
      <c r="D155" s="2" t="s">
        <v>6</v>
      </c>
      <c r="E155" s="2" t="str">
        <f t="array" ref="E155">INDEX('2024_Roster_Offseason'!$I$2:$I$301,MATCH(1,('2025_Draft_team'!$D155='2024_Roster_Offseason'!$A$2:$A$301)*('2025_Draft_team'!$B155='2024_Roster_Offseason'!$P$2:$P$301)*('2024_Roster_Offseason'!$Q$2:$Q$301="Y"),0))</f>
        <v>ChaseBrown</v>
      </c>
    </row>
    <row r="156" ht="14.25" hidden="1" customHeight="1">
      <c r="B156" s="3">
        <v>16.0</v>
      </c>
      <c r="C156" s="3">
        <v>4.0</v>
      </c>
      <c r="D156" s="3" t="s">
        <v>7</v>
      </c>
      <c r="E156" s="3" t="str">
        <f t="array" ref="E156">INDEX('2024_Roster_Offseason'!$I$2:$I$301,MATCH(1,('2025_Draft_team'!$D156='2024_Roster_Offseason'!$A$2:$A$301)*('2025_Draft_team'!$B156='2024_Roster_Offseason'!$P$2:$P$301)*('2024_Roster_Offseason'!$Q$2:$Q$301="Y"),0))</f>
        <v>#N/A</v>
      </c>
    </row>
    <row r="157" ht="14.25" hidden="1" customHeight="1">
      <c r="B157" s="2">
        <v>16.0</v>
      </c>
      <c r="C157" s="2">
        <v>5.0</v>
      </c>
      <c r="D157" s="2" t="s">
        <v>8</v>
      </c>
      <c r="E157" s="2" t="str">
        <f t="array" ref="E157">INDEX('2024_Roster_Offseason'!$I$2:$I$301,MATCH(1,('2025_Draft_team'!$D157='2024_Roster_Offseason'!$A$2:$A$301)*('2025_Draft_team'!$B157='2024_Roster_Offseason'!$P$2:$P$301)*('2024_Roster_Offseason'!$Q$2:$Q$301="Y"),0))</f>
        <v>#N/A</v>
      </c>
    </row>
    <row r="158" ht="14.25" hidden="1" customHeight="1">
      <c r="B158" s="3">
        <v>16.0</v>
      </c>
      <c r="C158" s="3">
        <v>6.0</v>
      </c>
      <c r="D158" s="3" t="s">
        <v>9</v>
      </c>
      <c r="E158" s="3" t="str">
        <f t="array" ref="E158">INDEX('2024_Roster_Offseason'!$I$2:$I$301,MATCH(1,('2025_Draft_team'!$D158='2024_Roster_Offseason'!$A$2:$A$301)*('2025_Draft_team'!$B158='2024_Roster_Offseason'!$P$2:$P$301)*('2024_Roster_Offseason'!$Q$2:$Q$301="Y"),0))</f>
        <v>JaxonSmith-Njigba</v>
      </c>
    </row>
    <row r="159" ht="14.25" hidden="1" customHeight="1">
      <c r="B159" s="2">
        <v>16.0</v>
      </c>
      <c r="C159" s="2">
        <v>7.0</v>
      </c>
      <c r="D159" s="2" t="s">
        <v>10</v>
      </c>
      <c r="E159" s="2" t="str">
        <f t="array" ref="E159">INDEX('2024_Roster_Offseason'!$I$2:$I$301,MATCH(1,('2025_Draft_team'!$D159='2024_Roster_Offseason'!$A$2:$A$301)*('2025_Draft_team'!$B159='2024_Roster_Offseason'!$P$2:$P$301)*('2024_Roster_Offseason'!$Q$2:$Q$301="Y"),0))</f>
        <v>#N/A</v>
      </c>
    </row>
    <row r="160" ht="14.25" hidden="1" customHeight="1">
      <c r="B160" s="3">
        <v>16.0</v>
      </c>
      <c r="C160" s="3">
        <v>8.0</v>
      </c>
      <c r="D160" s="3" t="s">
        <v>11</v>
      </c>
      <c r="E160" s="3" t="str">
        <f t="array" ref="E160">INDEX('2024_Roster_Offseason'!$I$2:$I$301,MATCH(1,('2025_Draft_team'!$D160='2024_Roster_Offseason'!$A$2:$A$301)*('2025_Draft_team'!$B160='2024_Roster_Offseason'!$P$2:$P$301)*('2024_Roster_Offseason'!$Q$2:$Q$301="Y"),0))</f>
        <v>#N/A</v>
      </c>
    </row>
    <row r="161" ht="14.25" hidden="1" customHeight="1">
      <c r="B161" s="2">
        <v>16.0</v>
      </c>
      <c r="C161" s="2">
        <v>9.0</v>
      </c>
      <c r="D161" s="2" t="s">
        <v>12</v>
      </c>
      <c r="E161" s="2" t="str">
        <f t="array" ref="E161">INDEX('2024_Roster_Offseason'!$I$2:$I$301,MATCH(1,('2025_Draft_team'!$D161='2024_Roster_Offseason'!$A$2:$A$301)*('2025_Draft_team'!$B161='2024_Roster_Offseason'!$P$2:$P$301)*('2024_Roster_Offseason'!$Q$2:$Q$301="Y"),0))</f>
        <v>KyleHamilton</v>
      </c>
    </row>
    <row r="162" ht="14.25" hidden="1" customHeight="1">
      <c r="B162" s="3">
        <v>16.0</v>
      </c>
      <c r="C162" s="3">
        <v>10.0</v>
      </c>
      <c r="D162" s="3" t="s">
        <v>13</v>
      </c>
      <c r="E162" s="3" t="str">
        <f t="array" ref="E162">INDEX('2024_Roster_Offseason'!$I$2:$I$301,MATCH(1,('2025_Draft_team'!$D162='2024_Roster_Offseason'!$A$2:$A$301)*('2025_Draft_team'!$B162='2024_Roster_Offseason'!$P$2:$P$301)*('2024_Roster_Offseason'!$Q$2:$Q$301="Y"),0))</f>
        <v>RobertSpillane</v>
      </c>
    </row>
    <row r="163" ht="14.25" hidden="1" customHeight="1">
      <c r="B163" s="2">
        <v>17.0</v>
      </c>
      <c r="C163" s="2">
        <v>1.0</v>
      </c>
      <c r="D163" s="2" t="s">
        <v>4</v>
      </c>
      <c r="E163" s="2" t="str">
        <f t="array" ref="E163">INDEX('2024_Roster_Offseason'!$I$2:$I$301,MATCH(1,('2025_Draft_team'!$D163='2024_Roster_Offseason'!$A$2:$A$301)*('2025_Draft_team'!$B163='2024_Roster_Offseason'!$P$2:$P$301)*('2024_Roster_Offseason'!$Q$2:$Q$301="Y"),0))</f>
        <v>#N/A</v>
      </c>
    </row>
    <row r="164" ht="14.25" hidden="1" customHeight="1">
      <c r="B164" s="3">
        <v>17.0</v>
      </c>
      <c r="C164" s="3">
        <v>2.0</v>
      </c>
      <c r="D164" s="3" t="s">
        <v>5</v>
      </c>
      <c r="E164" s="3" t="str">
        <f t="array" ref="E164">INDEX('2024_Roster_Offseason'!$I$2:$I$301,MATCH(1,('2025_Draft_team'!$D164='2024_Roster_Offseason'!$A$2:$A$301)*('2025_Draft_team'!$B164='2024_Roster_Offseason'!$P$2:$P$301)*('2024_Roster_Offseason'!$Q$2:$Q$301="Y"),0))</f>
        <v>#N/A</v>
      </c>
    </row>
    <row r="165" ht="14.25" customHeight="1">
      <c r="B165" s="2">
        <v>17.0</v>
      </c>
      <c r="C165" s="2">
        <v>3.0</v>
      </c>
      <c r="D165" s="2" t="s">
        <v>6</v>
      </c>
      <c r="E165" s="2" t="str">
        <f t="array" ref="E165">INDEX('2024_Roster_Offseason'!$I$2:$I$301,MATCH(1,('2025_Draft_team'!$D165='2024_Roster_Offseason'!$A$2:$A$301)*('2025_Draft_team'!$B165='2024_Roster_Offseason'!$P$2:$P$301)*('2024_Roster_Offseason'!$Q$2:$Q$301="Y"),0))</f>
        <v>#N/A</v>
      </c>
    </row>
    <row r="166" ht="14.25" hidden="1" customHeight="1">
      <c r="B166" s="3">
        <v>17.0</v>
      </c>
      <c r="C166" s="3">
        <v>4.0</v>
      </c>
      <c r="D166" s="3" t="s">
        <v>7</v>
      </c>
      <c r="E166" s="3" t="str">
        <f t="array" ref="E166">INDEX('2024_Roster_Offseason'!$I$2:$I$301,MATCH(1,('2025_Draft_team'!$D166='2024_Roster_Offseason'!$A$2:$A$301)*('2025_Draft_team'!$B166='2024_Roster_Offseason'!$P$2:$P$301)*('2024_Roster_Offseason'!$Q$2:$Q$301="Y"),0))</f>
        <v>#N/A</v>
      </c>
    </row>
    <row r="167" ht="14.25" hidden="1" customHeight="1">
      <c r="B167" s="2">
        <v>17.0</v>
      </c>
      <c r="C167" s="2">
        <v>5.0</v>
      </c>
      <c r="D167" s="2" t="s">
        <v>8</v>
      </c>
      <c r="E167" s="2" t="str">
        <f t="array" ref="E167">INDEX('2024_Roster_Offseason'!$I$2:$I$301,MATCH(1,('2025_Draft_team'!$D167='2024_Roster_Offseason'!$A$2:$A$301)*('2025_Draft_team'!$B167='2024_Roster_Offseason'!$P$2:$P$301)*('2024_Roster_Offseason'!$Q$2:$Q$301="Y"),0))</f>
        <v>TrentonSimpson</v>
      </c>
    </row>
    <row r="168" ht="14.25" hidden="1" customHeight="1">
      <c r="B168" s="3">
        <v>17.0</v>
      </c>
      <c r="C168" s="3">
        <v>6.0</v>
      </c>
      <c r="D168" s="3" t="s">
        <v>9</v>
      </c>
      <c r="E168" s="3" t="str">
        <f t="array" ref="E168">INDEX('2024_Roster_Offseason'!$I$2:$I$301,MATCH(1,('2025_Draft_team'!$D168='2024_Roster_Offseason'!$A$2:$A$301)*('2025_Draft_team'!$B168='2024_Roster_Offseason'!$P$2:$P$301)*('2024_Roster_Offseason'!$Q$2:$Q$301="Y"),0))</f>
        <v>WillMcDonaldIV</v>
      </c>
    </row>
    <row r="169" ht="14.25" hidden="1" customHeight="1">
      <c r="B169" s="2">
        <v>17.0</v>
      </c>
      <c r="C169" s="2">
        <v>7.0</v>
      </c>
      <c r="D169" s="2" t="s">
        <v>10</v>
      </c>
      <c r="E169" s="2" t="str">
        <f t="array" ref="E169">INDEX('2024_Roster_Offseason'!$I$2:$I$301,MATCH(1,('2025_Draft_team'!$D169='2024_Roster_Offseason'!$A$2:$A$301)*('2025_Draft_team'!$B169='2024_Roster_Offseason'!$P$2:$P$301)*('2024_Roster_Offseason'!$Q$2:$Q$301="Y"),0))</f>
        <v>XavierWorthy</v>
      </c>
    </row>
    <row r="170" ht="14.25" hidden="1" customHeight="1">
      <c r="B170" s="3">
        <v>17.0</v>
      </c>
      <c r="C170" s="3">
        <v>8.0</v>
      </c>
      <c r="D170" s="3" t="s">
        <v>11</v>
      </c>
      <c r="E170" s="3" t="str">
        <f t="array" ref="E170">INDEX('2024_Roster_Offseason'!$I$2:$I$301,MATCH(1,('2025_Draft_team'!$D170='2024_Roster_Offseason'!$A$2:$A$301)*('2025_Draft_team'!$B170='2024_Roster_Offseason'!$P$2:$P$301)*('2024_Roster_Offseason'!$Q$2:$Q$301="Y"),0))</f>
        <v>#N/A</v>
      </c>
    </row>
    <row r="171" ht="14.25" hidden="1" customHeight="1">
      <c r="B171" s="2">
        <v>17.0</v>
      </c>
      <c r="C171" s="2">
        <v>9.0</v>
      </c>
      <c r="D171" s="2" t="s">
        <v>12</v>
      </c>
      <c r="E171" s="2" t="str">
        <f t="array" ref="E171">INDEX('2024_Roster_Offseason'!$I$2:$I$301,MATCH(1,('2025_Draft_team'!$D171='2024_Roster_Offseason'!$A$2:$A$301)*('2025_Draft_team'!$B171='2024_Roster_Offseason'!$P$2:$P$301)*('2024_Roster_Offseason'!$Q$2:$Q$301="Y"),0))</f>
        <v>#N/A</v>
      </c>
    </row>
    <row r="172" ht="14.25" hidden="1" customHeight="1">
      <c r="B172" s="3">
        <v>17.0</v>
      </c>
      <c r="C172" s="3">
        <v>10.0</v>
      </c>
      <c r="D172" s="3" t="s">
        <v>13</v>
      </c>
      <c r="E172" s="3" t="str">
        <f t="array" ref="E172">INDEX('2024_Roster_Offseason'!$I$2:$I$301,MATCH(1,('2025_Draft_team'!$D172='2024_Roster_Offseason'!$A$2:$A$301)*('2025_Draft_team'!$B172='2024_Roster_Offseason'!$P$2:$P$301)*('2024_Roster_Offseason'!$Q$2:$Q$301="Y"),0))</f>
        <v>#N/A</v>
      </c>
    </row>
    <row r="173" ht="14.25" hidden="1" customHeight="1">
      <c r="B173" s="2">
        <v>18.0</v>
      </c>
      <c r="C173" s="2">
        <v>1.0</v>
      </c>
      <c r="D173" s="2" t="s">
        <v>4</v>
      </c>
      <c r="E173" s="2" t="str">
        <f t="array" ref="E173">INDEX('2024_Roster_Offseason'!$I$2:$I$301,MATCH(1,('2025_Draft_team'!$D173='2024_Roster_Offseason'!$A$2:$A$301)*('2025_Draft_team'!$B173='2024_Roster_Offseason'!$P$2:$P$301)*('2024_Roster_Offseason'!$Q$2:$Q$301="Y"),0))</f>
        <v>#N/A</v>
      </c>
    </row>
    <row r="174" ht="14.25" hidden="1" customHeight="1">
      <c r="B174" s="3">
        <v>18.0</v>
      </c>
      <c r="C174" s="3">
        <v>2.0</v>
      </c>
      <c r="D174" s="3" t="s">
        <v>5</v>
      </c>
      <c r="E174" s="3" t="str">
        <f t="array" ref="E174">INDEX('2024_Roster_Offseason'!$I$2:$I$301,MATCH(1,('2025_Draft_team'!$D174='2024_Roster_Offseason'!$A$2:$A$301)*('2025_Draft_team'!$B174='2024_Roster_Offseason'!$P$2:$P$301)*('2024_Roster_Offseason'!$Q$2:$Q$301="Y"),0))</f>
        <v>DevonWitherspoon</v>
      </c>
    </row>
    <row r="175" ht="14.25" customHeight="1">
      <c r="B175" s="2">
        <v>18.0</v>
      </c>
      <c r="C175" s="2">
        <v>3.0</v>
      </c>
      <c r="D175" s="2" t="s">
        <v>6</v>
      </c>
      <c r="E175" s="2" t="str">
        <f t="array" ref="E175">INDEX('2024_Roster_Offseason'!$I$2:$I$301,MATCH(1,('2025_Draft_team'!$D175='2024_Roster_Offseason'!$A$2:$A$301)*('2025_Draft_team'!$B175='2024_Roster_Offseason'!$P$2:$P$301)*('2024_Roster_Offseason'!$Q$2:$Q$301="Y"),0))</f>
        <v>#N/A</v>
      </c>
    </row>
    <row r="176" ht="14.25" hidden="1" customHeight="1">
      <c r="B176" s="3">
        <v>18.0</v>
      </c>
      <c r="C176" s="3">
        <v>4.0</v>
      </c>
      <c r="D176" s="3" t="s">
        <v>7</v>
      </c>
      <c r="E176" s="3" t="str">
        <f t="array" ref="E176">INDEX('2024_Roster_Offseason'!$I$2:$I$301,MATCH(1,('2025_Draft_team'!$D176='2024_Roster_Offseason'!$A$2:$A$301)*('2025_Draft_team'!$B176='2024_Roster_Offseason'!$P$2:$P$301)*('2024_Roster_Offseason'!$Q$2:$Q$301="Y"),0))</f>
        <v>#N/A</v>
      </c>
    </row>
    <row r="177" ht="14.25" hidden="1" customHeight="1">
      <c r="B177" s="2">
        <v>18.0</v>
      </c>
      <c r="C177" s="2">
        <v>5.0</v>
      </c>
      <c r="D177" s="2" t="s">
        <v>8</v>
      </c>
      <c r="E177" s="2" t="str">
        <f t="array" ref="E177">INDEX('2024_Roster_Offseason'!$I$2:$I$301,MATCH(1,('2025_Draft_team'!$D177='2024_Roster_Offseason'!$A$2:$A$301)*('2025_Draft_team'!$B177='2024_Roster_Offseason'!$P$2:$P$301)*('2024_Roster_Offseason'!$Q$2:$Q$301="Y"),0))</f>
        <v>#N/A</v>
      </c>
    </row>
    <row r="178" ht="14.25" hidden="1" customHeight="1">
      <c r="B178" s="3">
        <v>18.0</v>
      </c>
      <c r="C178" s="3">
        <v>6.0</v>
      </c>
      <c r="D178" s="3" t="s">
        <v>9</v>
      </c>
      <c r="E178" s="3" t="str">
        <f t="array" ref="E178">INDEX('2024_Roster_Offseason'!$I$2:$I$301,MATCH(1,('2025_Draft_team'!$D178='2024_Roster_Offseason'!$A$2:$A$301)*('2025_Draft_team'!$B178='2024_Roster_Offseason'!$P$2:$P$301)*('2024_Roster_Offseason'!$Q$2:$Q$301="Y"),0))</f>
        <v>#N/A</v>
      </c>
    </row>
    <row r="179" ht="14.25" hidden="1" customHeight="1">
      <c r="B179" s="2">
        <v>18.0</v>
      </c>
      <c r="C179" s="2">
        <v>7.0</v>
      </c>
      <c r="D179" s="2" t="s">
        <v>10</v>
      </c>
      <c r="E179" s="2" t="str">
        <f t="array" ref="E179">INDEX('2024_Roster_Offseason'!$I$2:$I$301,MATCH(1,('2025_Draft_team'!$D179='2024_Roster_Offseason'!$A$2:$A$301)*('2025_Draft_team'!$B179='2024_Roster_Offseason'!$P$2:$P$301)*('2024_Roster_Offseason'!$Q$2:$Q$301="Y"),0))</f>
        <v>#N/A</v>
      </c>
    </row>
    <row r="180" ht="14.25" hidden="1" customHeight="1">
      <c r="B180" s="3">
        <v>18.0</v>
      </c>
      <c r="C180" s="3">
        <v>8.0</v>
      </c>
      <c r="D180" s="3" t="s">
        <v>11</v>
      </c>
      <c r="E180" s="3" t="str">
        <f t="array" ref="E180">INDEX('2024_Roster_Offseason'!$I$2:$I$301,MATCH(1,('2025_Draft_team'!$D180='2024_Roster_Offseason'!$A$2:$A$301)*('2025_Draft_team'!$B180='2024_Roster_Offseason'!$P$2:$P$301)*('2024_Roster_Offseason'!$Q$2:$Q$301="Y"),0))</f>
        <v>GeorgeKittle</v>
      </c>
    </row>
    <row r="181" ht="14.25" hidden="1" customHeight="1">
      <c r="B181" s="2">
        <v>18.0</v>
      </c>
      <c r="C181" s="2">
        <v>9.0</v>
      </c>
      <c r="D181" s="2" t="s">
        <v>12</v>
      </c>
      <c r="E181" s="2" t="str">
        <f t="array" ref="E181">INDEX('2024_Roster_Offseason'!$I$2:$I$301,MATCH(1,('2025_Draft_team'!$D181='2024_Roster_Offseason'!$A$2:$A$301)*('2025_Draft_team'!$B181='2024_Roster_Offseason'!$P$2:$P$301)*('2024_Roster_Offseason'!$Q$2:$Q$301="Y"),0))</f>
        <v>JaylenWarren</v>
      </c>
    </row>
    <row r="182" ht="14.25" hidden="1" customHeight="1">
      <c r="B182" s="3">
        <v>18.0</v>
      </c>
      <c r="C182" s="3">
        <v>10.0</v>
      </c>
      <c r="D182" s="3" t="s">
        <v>13</v>
      </c>
      <c r="E182" s="3" t="str">
        <f t="array" ref="E182">INDEX('2024_Roster_Offseason'!$I$2:$I$301,MATCH(1,('2025_Draft_team'!$D182='2024_Roster_Offseason'!$A$2:$A$301)*('2025_Draft_team'!$B182='2024_Roster_Offseason'!$P$2:$P$301)*('2024_Roster_Offseason'!$Q$2:$Q$301="Y"),0))</f>
        <v>TerrelBernard</v>
      </c>
    </row>
    <row r="183" ht="14.25" hidden="1" customHeight="1">
      <c r="B183" s="2">
        <v>19.0</v>
      </c>
      <c r="C183" s="2">
        <v>1.0</v>
      </c>
      <c r="D183" s="2" t="s">
        <v>4</v>
      </c>
      <c r="E183" s="2" t="str">
        <f t="array" ref="E183">INDEX('2024_Roster_Offseason'!$I$2:$I$301,MATCH(1,('2025_Draft_team'!$D183='2024_Roster_Offseason'!$A$2:$A$301)*('2025_Draft_team'!$B183='2024_Roster_Offseason'!$P$2:$P$301)*('2024_Roster_Offseason'!$Q$2:$Q$301="Y"),0))</f>
        <v>#N/A</v>
      </c>
    </row>
    <row r="184" ht="14.25" hidden="1" customHeight="1">
      <c r="B184" s="3">
        <v>19.0</v>
      </c>
      <c r="C184" s="3">
        <v>2.0</v>
      </c>
      <c r="D184" s="3" t="s">
        <v>5</v>
      </c>
      <c r="E184" s="3" t="str">
        <f t="array" ref="E184">INDEX('2024_Roster_Offseason'!$I$2:$I$301,MATCH(1,('2025_Draft_team'!$D184='2024_Roster_Offseason'!$A$2:$A$301)*('2025_Draft_team'!$B184='2024_Roster_Offseason'!$P$2:$P$301)*('2024_Roster_Offseason'!$Q$2:$Q$301="Y"),0))</f>
        <v>#N/A</v>
      </c>
    </row>
    <row r="185" ht="14.25" customHeight="1">
      <c r="B185" s="2">
        <v>19.0</v>
      </c>
      <c r="C185" s="2">
        <v>3.0</v>
      </c>
      <c r="D185" s="2" t="s">
        <v>6</v>
      </c>
      <c r="E185" s="2" t="str">
        <f t="array" ref="E185">INDEX('2024_Roster_Offseason'!$I$2:$I$301,MATCH(1,('2025_Draft_team'!$D185='2024_Roster_Offseason'!$A$2:$A$301)*('2025_Draft_team'!$B185='2024_Roster_Offseason'!$P$2:$P$301)*('2024_Roster_Offseason'!$Q$2:$Q$301="Y"),0))</f>
        <v>#N/A</v>
      </c>
    </row>
    <row r="186" ht="14.25" hidden="1" customHeight="1">
      <c r="B186" s="3">
        <v>19.0</v>
      </c>
      <c r="C186" s="3">
        <v>4.0</v>
      </c>
      <c r="D186" s="3" t="s">
        <v>7</v>
      </c>
      <c r="E186" s="3" t="str">
        <f t="array" ref="E186">INDEX('2024_Roster_Offseason'!$I$2:$I$301,MATCH(1,('2025_Draft_team'!$D186='2024_Roster_Offseason'!$A$2:$A$301)*('2025_Draft_team'!$B186='2024_Roster_Offseason'!$P$2:$P$301)*('2024_Roster_Offseason'!$Q$2:$Q$301="Y"),0))</f>
        <v>De'VonAchane</v>
      </c>
    </row>
    <row r="187" ht="14.25" hidden="1" customHeight="1">
      <c r="B187" s="2">
        <v>19.0</v>
      </c>
      <c r="C187" s="2">
        <v>5.0</v>
      </c>
      <c r="D187" s="2" t="s">
        <v>8</v>
      </c>
      <c r="E187" s="2" t="str">
        <f t="array" ref="E187">INDEX('2024_Roster_Offseason'!$I$2:$I$301,MATCH(1,('2025_Draft_team'!$D187='2024_Roster_Offseason'!$A$2:$A$301)*('2025_Draft_team'!$B187='2024_Roster_Offseason'!$P$2:$P$301)*('2024_Roster_Offseason'!$Q$2:$Q$301="Y"),0))</f>
        <v>#N/A</v>
      </c>
    </row>
    <row r="188" ht="14.25" hidden="1" customHeight="1">
      <c r="B188" s="3">
        <v>19.0</v>
      </c>
      <c r="C188" s="3">
        <v>6.0</v>
      </c>
      <c r="D188" s="3" t="s">
        <v>9</v>
      </c>
      <c r="E188" s="3" t="str">
        <f t="array" ref="E188">INDEX('2024_Roster_Offseason'!$I$2:$I$301,MATCH(1,('2025_Draft_team'!$D188='2024_Roster_Offseason'!$A$2:$A$301)*('2025_Draft_team'!$B188='2024_Roster_Offseason'!$P$2:$P$301)*('2024_Roster_Offseason'!$Q$2:$Q$301="Y"),0))</f>
        <v>TalanoaHufanga</v>
      </c>
    </row>
    <row r="189" ht="14.25" hidden="1" customHeight="1">
      <c r="B189" s="2">
        <v>19.0</v>
      </c>
      <c r="C189" s="2">
        <v>7.0</v>
      </c>
      <c r="D189" s="2" t="s">
        <v>10</v>
      </c>
      <c r="E189" s="2" t="str">
        <f t="array" ref="E189">INDEX('2024_Roster_Offseason'!$I$2:$I$301,MATCH(1,('2025_Draft_team'!$D189='2024_Roster_Offseason'!$A$2:$A$301)*('2025_Draft_team'!$B189='2024_Roster_Offseason'!$P$2:$P$301)*('2024_Roster_Offseason'!$Q$2:$Q$301="Y"),0))</f>
        <v>TyrelDodson</v>
      </c>
    </row>
    <row r="190" ht="14.25" hidden="1" customHeight="1">
      <c r="B190" s="3">
        <v>19.0</v>
      </c>
      <c r="C190" s="3">
        <v>8.0</v>
      </c>
      <c r="D190" s="3" t="s">
        <v>11</v>
      </c>
      <c r="E190" s="3" t="str">
        <f t="array" ref="E190">INDEX('2024_Roster_Offseason'!$I$2:$I$301,MATCH(1,('2025_Draft_team'!$D190='2024_Roster_Offseason'!$A$2:$A$301)*('2025_Draft_team'!$B190='2024_Roster_Offseason'!$P$2:$P$301)*('2024_Roster_Offseason'!$Q$2:$Q$301="Y"),0))</f>
        <v>#N/A</v>
      </c>
    </row>
    <row r="191" ht="14.25" hidden="1" customHeight="1">
      <c r="B191" s="2">
        <v>19.0</v>
      </c>
      <c r="C191" s="2">
        <v>9.0</v>
      </c>
      <c r="D191" s="2" t="s">
        <v>12</v>
      </c>
      <c r="E191" s="2" t="str">
        <f t="array" ref="E191">INDEX('2024_Roster_Offseason'!$I$2:$I$301,MATCH(1,('2025_Draft_team'!$D191='2024_Roster_Offseason'!$A$2:$A$301)*('2025_Draft_team'!$B191='2024_Roster_Offseason'!$P$2:$P$301)*('2024_Roster_Offseason'!$Q$2:$Q$301="Y"),0))</f>
        <v>#N/A</v>
      </c>
    </row>
    <row r="192" ht="14.25" hidden="1" customHeight="1">
      <c r="B192" s="3">
        <v>19.0</v>
      </c>
      <c r="C192" s="3">
        <v>10.0</v>
      </c>
      <c r="D192" s="3" t="s">
        <v>13</v>
      </c>
      <c r="E192" s="3" t="str">
        <f t="array" ref="E192">INDEX('2024_Roster_Offseason'!$I$2:$I$301,MATCH(1,('2025_Draft_team'!$D192='2024_Roster_Offseason'!$A$2:$A$301)*('2025_Draft_team'!$B192='2024_Roster_Offseason'!$P$2:$P$301)*('2024_Roster_Offseason'!$Q$2:$Q$301="Y"),0))</f>
        <v>#N/A</v>
      </c>
    </row>
    <row r="193" ht="14.25" hidden="1" customHeight="1">
      <c r="B193" s="2">
        <v>20.0</v>
      </c>
      <c r="C193" s="2">
        <v>1.0</v>
      </c>
      <c r="D193" s="2" t="s">
        <v>4</v>
      </c>
      <c r="E193" s="2" t="str">
        <f t="array" ref="E193">INDEX('2024_Roster_Offseason'!$I$2:$I$301,MATCH(1,('2025_Draft_team'!$D193='2024_Roster_Offseason'!$A$2:$A$301)*('2025_Draft_team'!$B193='2024_Roster_Offseason'!$P$2:$P$301)*('2024_Roster_Offseason'!$Q$2:$Q$301="Y"),0))</f>
        <v>#N/A</v>
      </c>
    </row>
    <row r="194" ht="14.25" hidden="1" customHeight="1">
      <c r="B194" s="3">
        <v>20.0</v>
      </c>
      <c r="C194" s="3">
        <v>2.0</v>
      </c>
      <c r="D194" s="3" t="s">
        <v>5</v>
      </c>
      <c r="E194" s="3" t="str">
        <f t="array" ref="E194">INDEX('2024_Roster_Offseason'!$I$2:$I$301,MATCH(1,('2025_Draft_team'!$D194='2024_Roster_Offseason'!$A$2:$A$301)*('2025_Draft_team'!$B194='2024_Roster_Offseason'!$P$2:$P$301)*('2024_Roster_Offseason'!$Q$2:$Q$301="Y"),0))</f>
        <v>#N/A</v>
      </c>
    </row>
    <row r="195" ht="14.25" customHeight="1">
      <c r="B195" s="2">
        <v>20.0</v>
      </c>
      <c r="C195" s="2">
        <v>3.0</v>
      </c>
      <c r="D195" s="2" t="s">
        <v>6</v>
      </c>
      <c r="E195" s="2" t="str">
        <f t="array" ref="E195">INDEX('2024_Roster_Offseason'!$I$2:$I$301,MATCH(1,('2025_Draft_team'!$D195='2024_Roster_Offseason'!$A$2:$A$301)*('2025_Draft_team'!$B195='2024_Roster_Offseason'!$P$2:$P$301)*('2024_Roster_Offseason'!$Q$2:$Q$301="Y"),0))</f>
        <v>J.J.McCarthy</v>
      </c>
    </row>
    <row r="196" ht="14.25" hidden="1" customHeight="1">
      <c r="B196" s="3">
        <v>20.0</v>
      </c>
      <c r="C196" s="3">
        <v>4.0</v>
      </c>
      <c r="D196" s="3" t="s">
        <v>7</v>
      </c>
      <c r="E196" s="3" t="str">
        <f t="array" ref="E196">INDEX('2024_Roster_Offseason'!$I$2:$I$301,MATCH(1,('2025_Draft_team'!$D196='2024_Roster_Offseason'!$A$2:$A$301)*('2025_Draft_team'!$B196='2024_Roster_Offseason'!$P$2:$P$301)*('2024_Roster_Offseason'!$Q$2:$Q$301="Y"),0))</f>
        <v>#N/A</v>
      </c>
    </row>
    <row r="197" ht="14.25" hidden="1" customHeight="1">
      <c r="B197" s="2">
        <v>20.0</v>
      </c>
      <c r="C197" s="2">
        <v>5.0</v>
      </c>
      <c r="D197" s="2" t="s">
        <v>8</v>
      </c>
      <c r="E197" s="2" t="str">
        <f t="array" ref="E197">INDEX('2024_Roster_Offseason'!$I$2:$I$301,MATCH(1,('2025_Draft_team'!$D197='2024_Roster_Offseason'!$A$2:$A$301)*('2025_Draft_team'!$B197='2024_Roster_Offseason'!$P$2:$P$301)*('2024_Roster_Offseason'!$Q$2:$Q$301="Y"),0))</f>
        <v>DaiyanHenley</v>
      </c>
    </row>
    <row r="198" ht="14.25" hidden="1" customHeight="1">
      <c r="B198" s="3">
        <v>20.0</v>
      </c>
      <c r="C198" s="3">
        <v>6.0</v>
      </c>
      <c r="D198" s="3" t="s">
        <v>9</v>
      </c>
      <c r="E198" s="3" t="str">
        <f t="array" ref="E198">INDEX('2024_Roster_Offseason'!$I$2:$I$301,MATCH(1,('2025_Draft_team'!$D198='2024_Roster_Offseason'!$A$2:$A$301)*('2025_Draft_team'!$B198='2024_Roster_Offseason'!$P$2:$P$301)*('2024_Roster_Offseason'!$Q$2:$Q$301="Y"),0))</f>
        <v>#N/A</v>
      </c>
    </row>
    <row r="199" ht="14.25" hidden="1" customHeight="1">
      <c r="B199" s="2">
        <v>20.0</v>
      </c>
      <c r="C199" s="2">
        <v>7.0</v>
      </c>
      <c r="D199" s="2" t="s">
        <v>10</v>
      </c>
      <c r="E199" s="2" t="str">
        <f t="array" ref="E199">INDEX('2024_Roster_Offseason'!$I$2:$I$301,MATCH(1,('2025_Draft_team'!$D199='2024_Roster_Offseason'!$A$2:$A$301)*('2025_Draft_team'!$B199='2024_Roster_Offseason'!$P$2:$P$301)*('2024_Roster_Offseason'!$Q$2:$Q$301="Y"),0))</f>
        <v>#N/A</v>
      </c>
    </row>
    <row r="200" ht="14.25" hidden="1" customHeight="1">
      <c r="B200" s="3">
        <v>20.0</v>
      </c>
      <c r="C200" s="3">
        <v>8.0</v>
      </c>
      <c r="D200" s="3" t="s">
        <v>11</v>
      </c>
      <c r="E200" s="3" t="str">
        <f t="array" ref="E200">INDEX('2024_Roster_Offseason'!$I$2:$I$301,MATCH(1,('2025_Draft_team'!$D200='2024_Roster_Offseason'!$A$2:$A$301)*('2025_Draft_team'!$B200='2024_Roster_Offseason'!$P$2:$P$301)*('2024_Roster_Offseason'!$Q$2:$Q$301="Y"),0))</f>
        <v>LaddMcConkey</v>
      </c>
    </row>
    <row r="201" ht="14.25" hidden="1" customHeight="1">
      <c r="B201" s="2">
        <v>20.0</v>
      </c>
      <c r="C201" s="2">
        <v>9.0</v>
      </c>
      <c r="D201" s="2" t="s">
        <v>12</v>
      </c>
      <c r="E201" s="2" t="str">
        <f t="array" ref="E201">INDEX('2024_Roster_Offseason'!$I$2:$I$301,MATCH(1,('2025_Draft_team'!$D201='2024_Roster_Offseason'!$A$2:$A$301)*('2025_Draft_team'!$B201='2024_Roster_Offseason'!$P$2:$P$301)*('2024_Roster_Offseason'!$Q$2:$Q$301="Y"),0))</f>
        <v>#N/A</v>
      </c>
    </row>
    <row r="202" ht="14.25" hidden="1" customHeight="1">
      <c r="B202" s="3">
        <v>20.0</v>
      </c>
      <c r="C202" s="3">
        <v>10.0</v>
      </c>
      <c r="D202" s="3" t="s">
        <v>13</v>
      </c>
      <c r="E202" s="3" t="str">
        <f t="array" ref="E202">INDEX('2024_Roster_Offseason'!$I$2:$I$301,MATCH(1,('2025_Draft_team'!$D202='2024_Roster_Offseason'!$A$2:$A$301)*('2025_Draft_team'!$B202='2024_Roster_Offseason'!$P$2:$P$301)*('2024_Roster_Offseason'!$Q$2:$Q$301="Y"),0))</f>
        <v>#N/A</v>
      </c>
    </row>
    <row r="203" ht="14.25" hidden="1" customHeight="1">
      <c r="B203" s="2">
        <v>21.0</v>
      </c>
      <c r="C203" s="2">
        <v>1.0</v>
      </c>
      <c r="D203" s="2" t="s">
        <v>4</v>
      </c>
      <c r="E203" s="2" t="str">
        <f t="array" ref="E203">INDEX('2024_Roster_Offseason'!$I$2:$I$301,MATCH(1,('2025_Draft_team'!$D203='2024_Roster_Offseason'!$A$2:$A$301)*('2025_Draft_team'!$B203='2024_Roster_Offseason'!$P$2:$P$301)*('2024_Roster_Offseason'!$Q$2:$Q$301="Y"),0))</f>
        <v>CourtlandSutton</v>
      </c>
    </row>
    <row r="204" ht="14.25" hidden="1" customHeight="1">
      <c r="B204" s="3">
        <v>21.0</v>
      </c>
      <c r="C204" s="3">
        <v>2.0</v>
      </c>
      <c r="D204" s="3" t="s">
        <v>5</v>
      </c>
      <c r="E204" s="3" t="str">
        <f t="array" ref="E204">INDEX('2024_Roster_Offseason'!$I$2:$I$301,MATCH(1,('2025_Draft_team'!$D204='2024_Roster_Offseason'!$A$2:$A$301)*('2025_Draft_team'!$B204='2024_Roster_Offseason'!$P$2:$P$301)*('2024_Roster_Offseason'!$Q$2:$Q$301="Y"),0))</f>
        <v>#N/A</v>
      </c>
    </row>
    <row r="205" ht="14.25" customHeight="1">
      <c r="B205" s="2">
        <v>21.0</v>
      </c>
      <c r="C205" s="2">
        <v>3.0</v>
      </c>
      <c r="D205" s="2" t="s">
        <v>6</v>
      </c>
      <c r="E205" s="2" t="str">
        <f t="array" ref="E205">INDEX('2024_Roster_Offseason'!$I$2:$I$301,MATCH(1,('2025_Draft_team'!$D205='2024_Roster_Offseason'!$A$2:$A$301)*('2025_Draft_team'!$B205='2024_Roster_Offseason'!$P$2:$P$301)*('2024_Roster_Offseason'!$Q$2:$Q$301="Y"),0))</f>
        <v>BrianBranch</v>
      </c>
    </row>
    <row r="206" ht="14.25" hidden="1" customHeight="1">
      <c r="B206" s="3">
        <v>21.0</v>
      </c>
      <c r="C206" s="3">
        <v>4.0</v>
      </c>
      <c r="D206" s="3" t="s">
        <v>7</v>
      </c>
      <c r="E206" s="3" t="str">
        <f t="array" ref="E206">INDEX('2024_Roster_Offseason'!$I$2:$I$301,MATCH(1,('2025_Draft_team'!$D206='2024_Roster_Offseason'!$A$2:$A$301)*('2025_Draft_team'!$B206='2024_Roster_Offseason'!$P$2:$P$301)*('2024_Roster_Offseason'!$Q$2:$Q$301="Y"),0))</f>
        <v>BrianThomasJr.</v>
      </c>
    </row>
    <row r="207" ht="14.25" hidden="1" customHeight="1">
      <c r="B207" s="2">
        <v>21.0</v>
      </c>
      <c r="C207" s="2">
        <v>5.0</v>
      </c>
      <c r="D207" s="2" t="s">
        <v>8</v>
      </c>
      <c r="E207" s="2" t="str">
        <f t="array" ref="E207">INDEX('2024_Roster_Offseason'!$I$2:$I$301,MATCH(1,('2025_Draft_team'!$D207='2024_Roster_Offseason'!$A$2:$A$301)*('2025_Draft_team'!$B207='2024_Roster_Offseason'!$P$2:$P$301)*('2024_Roster_Offseason'!$Q$2:$Q$301="Y"),0))</f>
        <v>#N/A</v>
      </c>
    </row>
    <row r="208" ht="14.25" hidden="1" customHeight="1">
      <c r="B208" s="3">
        <v>21.0</v>
      </c>
      <c r="C208" s="3">
        <v>6.0</v>
      </c>
      <c r="D208" s="3" t="s">
        <v>9</v>
      </c>
      <c r="E208" s="3" t="str">
        <f t="array" ref="E208">INDEX('2024_Roster_Offseason'!$I$2:$I$301,MATCH(1,('2025_Draft_team'!$D208='2024_Roster_Offseason'!$A$2:$A$301)*('2025_Draft_team'!$B208='2024_Roster_Offseason'!$P$2:$P$301)*('2024_Roster_Offseason'!$Q$2:$Q$301="Y"),0))</f>
        <v>#N/A</v>
      </c>
    </row>
    <row r="209" ht="14.25" hidden="1" customHeight="1">
      <c r="B209" s="2">
        <v>21.0</v>
      </c>
      <c r="C209" s="2">
        <v>7.0</v>
      </c>
      <c r="D209" s="2" t="s">
        <v>10</v>
      </c>
      <c r="E209" s="2" t="str">
        <f t="array" ref="E209">INDEX('2024_Roster_Offseason'!$I$2:$I$301,MATCH(1,('2025_Draft_team'!$D209='2024_Roster_Offseason'!$A$2:$A$301)*('2025_Draft_team'!$B209='2024_Roster_Offseason'!$P$2:$P$301)*('2024_Roster_Offseason'!$Q$2:$Q$301="Y"),0))</f>
        <v>BuckyIrving</v>
      </c>
    </row>
    <row r="210" ht="14.25" hidden="1" customHeight="1">
      <c r="B210" s="3">
        <v>21.0</v>
      </c>
      <c r="C210" s="3">
        <v>8.0</v>
      </c>
      <c r="D210" s="3" t="s">
        <v>11</v>
      </c>
      <c r="E210" s="3" t="str">
        <f t="array" ref="E210">INDEX('2024_Roster_Offseason'!$I$2:$I$301,MATCH(1,('2025_Draft_team'!$D210='2024_Roster_Offseason'!$A$2:$A$301)*('2025_Draft_team'!$B210='2024_Roster_Offseason'!$P$2:$P$301)*('2024_Roster_Offseason'!$Q$2:$Q$301="Y"),0))</f>
        <v>#N/A</v>
      </c>
    </row>
    <row r="211" ht="14.25" hidden="1" customHeight="1">
      <c r="B211" s="2">
        <v>21.0</v>
      </c>
      <c r="C211" s="2">
        <v>9.0</v>
      </c>
      <c r="D211" s="2" t="s">
        <v>12</v>
      </c>
      <c r="E211" s="2" t="str">
        <f t="array" ref="E211">INDEX('2024_Roster_Offseason'!$I$2:$I$301,MATCH(1,('2025_Draft_team'!$D211='2024_Roster_Offseason'!$A$2:$A$301)*('2025_Draft_team'!$B211='2024_Roster_Offseason'!$P$2:$P$301)*('2024_Roster_Offseason'!$Q$2:$Q$301="Y"),0))</f>
        <v>#N/A</v>
      </c>
    </row>
    <row r="212" ht="14.25" hidden="1" customHeight="1">
      <c r="B212" s="3">
        <v>21.0</v>
      </c>
      <c r="C212" s="3">
        <v>10.0</v>
      </c>
      <c r="D212" s="3" t="s">
        <v>13</v>
      </c>
      <c r="E212" s="3" t="str">
        <f t="array" ref="E212">INDEX('2024_Roster_Offseason'!$I$2:$I$301,MATCH(1,('2025_Draft_team'!$D212='2024_Roster_Offseason'!$A$2:$A$301)*('2025_Draft_team'!$B212='2024_Roster_Offseason'!$P$2:$P$301)*('2024_Roster_Offseason'!$Q$2:$Q$301="Y"),0))</f>
        <v>DallasTurner</v>
      </c>
    </row>
    <row r="213" ht="14.25" hidden="1" customHeight="1">
      <c r="B213" s="2">
        <v>22.0</v>
      </c>
      <c r="C213" s="2">
        <v>1.0</v>
      </c>
      <c r="D213" s="2" t="s">
        <v>4</v>
      </c>
      <c r="E213" s="2" t="str">
        <f t="array" ref="E213">INDEX('2024_Roster_Offseason'!$I$2:$I$301,MATCH(1,('2025_Draft_team'!$D213='2024_Roster_Offseason'!$A$2:$A$301)*('2025_Draft_team'!$B213='2024_Roster_Offseason'!$P$2:$P$301)*('2024_Roster_Offseason'!$Q$2:$Q$301="Y"),0))</f>
        <v>#N/A</v>
      </c>
    </row>
    <row r="214" ht="14.25" hidden="1" customHeight="1">
      <c r="B214" s="3">
        <v>22.0</v>
      </c>
      <c r="C214" s="3">
        <v>2.0</v>
      </c>
      <c r="D214" s="3" t="s">
        <v>5</v>
      </c>
      <c r="E214" s="3" t="str">
        <f t="array" ref="E214">INDEX('2024_Roster_Offseason'!$I$2:$I$301,MATCH(1,('2025_Draft_team'!$D214='2024_Roster_Offseason'!$A$2:$A$301)*('2025_Draft_team'!$B214='2024_Roster_Offseason'!$P$2:$P$301)*('2024_Roster_Offseason'!$Q$2:$Q$301="Y"),0))</f>
        <v>#N/A</v>
      </c>
    </row>
    <row r="215" ht="14.25" customHeight="1">
      <c r="B215" s="2">
        <v>22.0</v>
      </c>
      <c r="C215" s="2">
        <v>3.0</v>
      </c>
      <c r="D215" s="2" t="s">
        <v>6</v>
      </c>
      <c r="E215" s="2" t="str">
        <f t="array" ref="E215">INDEX('2024_Roster_Offseason'!$I$2:$I$301,MATCH(1,('2025_Draft_team'!$D215='2024_Roster_Offseason'!$A$2:$A$301)*('2025_Draft_team'!$B215='2024_Roster_Offseason'!$P$2:$P$301)*('2024_Roster_Offseason'!$Q$2:$Q$301="Y"),0))</f>
        <v>#N/A</v>
      </c>
    </row>
    <row r="216" ht="14.25" hidden="1" customHeight="1">
      <c r="B216" s="3">
        <v>22.0</v>
      </c>
      <c r="C216" s="3">
        <v>4.0</v>
      </c>
      <c r="D216" s="3" t="s">
        <v>7</v>
      </c>
      <c r="E216" s="3" t="str">
        <f t="array" ref="E216">INDEX('2024_Roster_Offseason'!$I$2:$I$301,MATCH(1,('2025_Draft_team'!$D216='2024_Roster_Offseason'!$A$2:$A$301)*('2025_Draft_team'!$B216='2024_Roster_Offseason'!$P$2:$P$301)*('2024_Roster_Offseason'!$Q$2:$Q$301="Y"),0))</f>
        <v>#N/A</v>
      </c>
    </row>
    <row r="217" ht="14.25" hidden="1" customHeight="1">
      <c r="B217" s="2">
        <v>22.0</v>
      </c>
      <c r="C217" s="2">
        <v>5.0</v>
      </c>
      <c r="D217" s="2" t="s">
        <v>8</v>
      </c>
      <c r="E217" s="2" t="str">
        <f t="array" ref="E217">INDEX('2024_Roster_Offseason'!$I$2:$I$301,MATCH(1,('2025_Draft_team'!$D217='2024_Roster_Offseason'!$A$2:$A$301)*('2025_Draft_team'!$B217='2024_Roster_Offseason'!$P$2:$P$301)*('2024_Roster_Offseason'!$Q$2:$Q$301="Y"),0))</f>
        <v>BoNix</v>
      </c>
    </row>
    <row r="218" ht="14.25" hidden="1" customHeight="1">
      <c r="B218" s="3">
        <v>22.0</v>
      </c>
      <c r="C218" s="3">
        <v>6.0</v>
      </c>
      <c r="D218" s="3" t="s">
        <v>9</v>
      </c>
      <c r="E218" s="3" t="str">
        <f t="array" ref="E218">INDEX('2024_Roster_Offseason'!$I$2:$I$301,MATCH(1,('2025_Draft_team'!$D218='2024_Roster_Offseason'!$A$2:$A$301)*('2025_Draft_team'!$B218='2024_Roster_Offseason'!$P$2:$P$301)*('2024_Roster_Offseason'!$Q$2:$Q$301="Y"),0))</f>
        <v>#N/A</v>
      </c>
    </row>
    <row r="219" ht="14.25" hidden="1" customHeight="1">
      <c r="B219" s="2">
        <v>22.0</v>
      </c>
      <c r="C219" s="2">
        <v>7.0</v>
      </c>
      <c r="D219" s="2" t="s">
        <v>10</v>
      </c>
      <c r="E219" s="2" t="str">
        <f t="array" ref="E219">INDEX('2024_Roster_Offseason'!$I$2:$I$301,MATCH(1,('2025_Draft_team'!$D219='2024_Roster_Offseason'!$A$2:$A$301)*('2025_Draft_team'!$B219='2024_Roster_Offseason'!$P$2:$P$301)*('2024_Roster_Offseason'!$Q$2:$Q$301="Y"),0))</f>
        <v>GermainePratt</v>
      </c>
    </row>
    <row r="220" ht="14.25" hidden="1" customHeight="1">
      <c r="B220" s="3">
        <v>22.0</v>
      </c>
      <c r="C220" s="3">
        <v>8.0</v>
      </c>
      <c r="D220" s="3" t="s">
        <v>11</v>
      </c>
      <c r="E220" s="3" t="str">
        <f t="array" ref="E220">INDEX('2024_Roster_Offseason'!$I$2:$I$301,MATCH(1,('2025_Draft_team'!$D220='2024_Roster_Offseason'!$A$2:$A$301)*('2025_Draft_team'!$B220='2024_Roster_Offseason'!$P$2:$P$301)*('2024_Roster_Offseason'!$Q$2:$Q$301="Y"),0))</f>
        <v>#N/A</v>
      </c>
    </row>
    <row r="221" ht="14.25" hidden="1" customHeight="1">
      <c r="B221" s="2">
        <v>22.0</v>
      </c>
      <c r="C221" s="2">
        <v>9.0</v>
      </c>
      <c r="D221" s="2" t="s">
        <v>12</v>
      </c>
      <c r="E221" s="2" t="str">
        <f t="array" ref="E221">INDEX('2024_Roster_Offseason'!$I$2:$I$301,MATCH(1,('2025_Draft_team'!$D221='2024_Roster_Offseason'!$A$2:$A$301)*('2025_Draft_team'!$B221='2024_Roster_Offseason'!$P$2:$P$301)*('2024_Roster_Offseason'!$Q$2:$Q$301="Y"),0))</f>
        <v>#N/A</v>
      </c>
    </row>
    <row r="222" ht="14.25" hidden="1" customHeight="1">
      <c r="B222" s="3">
        <v>22.0</v>
      </c>
      <c r="C222" s="3">
        <v>10.0</v>
      </c>
      <c r="D222" s="3" t="s">
        <v>13</v>
      </c>
      <c r="E222" s="3" t="str">
        <f t="array" ref="E222">INDEX('2024_Roster_Offseason'!$I$2:$I$301,MATCH(1,('2025_Draft_team'!$D222='2024_Roster_Offseason'!$A$2:$A$301)*('2025_Draft_team'!$B222='2024_Roster_Offseason'!$P$2:$P$301)*('2024_Roster_Offseason'!$Q$2:$Q$301="Y"),0))</f>
        <v>#N/A</v>
      </c>
    </row>
    <row r="223" ht="14.25" hidden="1" customHeight="1">
      <c r="B223" s="2">
        <v>23.0</v>
      </c>
      <c r="C223" s="2">
        <v>1.0</v>
      </c>
      <c r="D223" s="2" t="s">
        <v>4</v>
      </c>
      <c r="E223" s="2" t="str">
        <f t="array" ref="E223">INDEX('2024_Roster_Offseason'!$I$2:$I$301,MATCH(1,('2025_Draft_team'!$D223='2024_Roster_Offseason'!$A$2:$A$301)*('2025_Draft_team'!$B223='2024_Roster_Offseason'!$P$2:$P$301)*('2024_Roster_Offseason'!$Q$2:$Q$301="Y"),0))</f>
        <v>#N/A</v>
      </c>
    </row>
    <row r="224" ht="14.25" hidden="1" customHeight="1">
      <c r="B224" s="3">
        <v>23.0</v>
      </c>
      <c r="C224" s="3">
        <v>2.0</v>
      </c>
      <c r="D224" s="3" t="s">
        <v>5</v>
      </c>
      <c r="E224" s="3" t="str">
        <f t="array" ref="E224">INDEX('2024_Roster_Offseason'!$I$2:$I$301,MATCH(1,('2025_Draft_team'!$D224='2024_Roster_Offseason'!$A$2:$A$301)*('2025_Draft_team'!$B224='2024_Roster_Offseason'!$P$2:$P$301)*('2024_Roster_Offseason'!$Q$2:$Q$301="Y"),0))</f>
        <v>#N/A</v>
      </c>
    </row>
    <row r="225" ht="14.25" customHeight="1">
      <c r="B225" s="2">
        <v>23.0</v>
      </c>
      <c r="C225" s="2">
        <v>3.0</v>
      </c>
      <c r="D225" s="2" t="s">
        <v>6</v>
      </c>
      <c r="E225" s="2" t="str">
        <f t="array" ref="E225">INDEX('2024_Roster_Offseason'!$I$2:$I$301,MATCH(1,('2025_Draft_team'!$D225='2024_Roster_Offseason'!$A$2:$A$301)*('2025_Draft_team'!$B225='2024_Roster_Offseason'!$P$2:$P$301)*('2024_Roster_Offseason'!$Q$2:$Q$301="Y"),0))</f>
        <v>BraelonAllen</v>
      </c>
    </row>
    <row r="226" ht="14.25" hidden="1" customHeight="1">
      <c r="B226" s="3">
        <v>23.0</v>
      </c>
      <c r="C226" s="3">
        <v>4.0</v>
      </c>
      <c r="D226" s="3" t="s">
        <v>7</v>
      </c>
      <c r="E226" s="3" t="str">
        <f t="array" ref="E226">INDEX('2024_Roster_Offseason'!$I$2:$I$301,MATCH(1,('2025_Draft_team'!$D226='2024_Roster_Offseason'!$A$2:$A$301)*('2025_Draft_team'!$B226='2024_Roster_Offseason'!$P$2:$P$301)*('2024_Roster_Offseason'!$Q$2:$Q$301="Y"),0))</f>
        <v>#N/A</v>
      </c>
    </row>
    <row r="227" ht="14.25" hidden="1" customHeight="1">
      <c r="B227" s="2">
        <v>23.0</v>
      </c>
      <c r="C227" s="2">
        <v>5.0</v>
      </c>
      <c r="D227" s="2" t="s">
        <v>8</v>
      </c>
      <c r="E227" s="2" t="str">
        <f t="array" ref="E227">INDEX('2024_Roster_Offseason'!$I$2:$I$301,MATCH(1,('2025_Draft_team'!$D227='2024_Roster_Offseason'!$A$2:$A$301)*('2025_Draft_team'!$B227='2024_Roster_Offseason'!$P$2:$P$301)*('2024_Roster_Offseason'!$Q$2:$Q$301="Y"),0))</f>
        <v>BrockBowers</v>
      </c>
    </row>
    <row r="228" ht="14.25" hidden="1" customHeight="1">
      <c r="B228" s="3">
        <v>23.0</v>
      </c>
      <c r="C228" s="3">
        <v>6.0</v>
      </c>
      <c r="D228" s="3" t="s">
        <v>9</v>
      </c>
      <c r="E228" s="3" t="str">
        <f t="array" ref="E228">INDEX('2024_Roster_Offseason'!$I$2:$I$301,MATCH(1,('2025_Draft_team'!$D228='2024_Roster_Offseason'!$A$2:$A$301)*('2025_Draft_team'!$B228='2024_Roster_Offseason'!$P$2:$P$301)*('2024_Roster_Offseason'!$Q$2:$Q$301="Y"),0))</f>
        <v>MikeEvans</v>
      </c>
    </row>
    <row r="229" ht="14.25" hidden="1" customHeight="1">
      <c r="B229" s="2">
        <v>23.0</v>
      </c>
      <c r="C229" s="2">
        <v>7.0</v>
      </c>
      <c r="D229" s="2" t="s">
        <v>10</v>
      </c>
      <c r="E229" s="2" t="str">
        <f t="array" ref="E229">INDEX('2024_Roster_Offseason'!$I$2:$I$301,MATCH(1,('2025_Draft_team'!$D229='2024_Roster_Offseason'!$A$2:$A$301)*('2025_Draft_team'!$B229='2024_Roster_Offseason'!$P$2:$P$301)*('2024_Roster_Offseason'!$Q$2:$Q$301="Y"),0))</f>
        <v>NicoCollins</v>
      </c>
    </row>
    <row r="230" ht="14.25" hidden="1" customHeight="1">
      <c r="B230" s="3">
        <v>23.0</v>
      </c>
      <c r="C230" s="3">
        <v>8.0</v>
      </c>
      <c r="D230" s="3" t="s">
        <v>11</v>
      </c>
      <c r="E230" s="3" t="str">
        <f t="array" ref="E230">INDEX('2024_Roster_Offseason'!$I$2:$I$301,MATCH(1,('2025_Draft_team'!$D230='2024_Roster_Offseason'!$A$2:$A$301)*('2025_Draft_team'!$B230='2024_Roster_Offseason'!$P$2:$P$301)*('2024_Roster_Offseason'!$Q$2:$Q$301="Y"),0))</f>
        <v>#N/A</v>
      </c>
    </row>
    <row r="231" ht="14.25" hidden="1" customHeight="1">
      <c r="B231" s="2">
        <v>23.0</v>
      </c>
      <c r="C231" s="2">
        <v>9.0</v>
      </c>
      <c r="D231" s="2" t="s">
        <v>12</v>
      </c>
      <c r="E231" s="2" t="str">
        <f t="array" ref="E231">INDEX('2024_Roster_Offseason'!$I$2:$I$301,MATCH(1,('2025_Draft_team'!$D231='2024_Roster_Offseason'!$A$2:$A$301)*('2025_Draft_team'!$B231='2024_Roster_Offseason'!$P$2:$P$301)*('2024_Roster_Offseason'!$Q$2:$Q$301="Y"),0))</f>
        <v>TreyMcBride</v>
      </c>
    </row>
    <row r="232" ht="14.25" hidden="1" customHeight="1">
      <c r="B232" s="3">
        <v>23.0</v>
      </c>
      <c r="C232" s="3">
        <v>10.0</v>
      </c>
      <c r="D232" s="3" t="s">
        <v>13</v>
      </c>
      <c r="E232" s="3" t="str">
        <f t="array" ref="E232">INDEX('2024_Roster_Offseason'!$I$2:$I$301,MATCH(1,('2025_Draft_team'!$D232='2024_Roster_Offseason'!$A$2:$A$301)*('2025_Draft_team'!$B232='2024_Roster_Offseason'!$P$2:$P$301)*('2024_Roster_Offseason'!$Q$2:$Q$301="Y"),0))</f>
        <v>IvanPaceJr.</v>
      </c>
    </row>
    <row r="233" ht="14.25" hidden="1" customHeight="1">
      <c r="B233" s="2">
        <v>24.0</v>
      </c>
      <c r="C233" s="2">
        <v>1.0</v>
      </c>
      <c r="D233" s="2" t="s">
        <v>4</v>
      </c>
      <c r="E233" s="2" t="str">
        <f t="array" ref="E233">INDEX('2024_Roster_Offseason'!$I$2:$I$301,MATCH(1,('2025_Draft_team'!$D233='2024_Roster_Offseason'!$A$2:$A$301)*('2025_Draft_team'!$B233='2024_Roster_Offseason'!$P$2:$P$301)*('2024_Roster_Offseason'!$Q$2:$Q$301="Y"),0))</f>
        <v>#N/A</v>
      </c>
    </row>
    <row r="234" ht="14.25" hidden="1" customHeight="1">
      <c r="B234" s="3">
        <v>24.0</v>
      </c>
      <c r="C234" s="3">
        <v>2.0</v>
      </c>
      <c r="D234" s="3" t="s">
        <v>5</v>
      </c>
      <c r="E234" s="3" t="str">
        <f t="array" ref="E234">INDEX('2024_Roster_Offseason'!$I$2:$I$301,MATCH(1,('2025_Draft_team'!$D234='2024_Roster_Offseason'!$A$2:$A$301)*('2025_Draft_team'!$B234='2024_Roster_Offseason'!$P$2:$P$301)*('2024_Roster_Offseason'!$Q$2:$Q$301="Y"),0))</f>
        <v>#N/A</v>
      </c>
    </row>
    <row r="235" ht="14.25" customHeight="1">
      <c r="B235" s="2">
        <v>24.0</v>
      </c>
      <c r="C235" s="2">
        <v>3.0</v>
      </c>
      <c r="D235" s="2" t="s">
        <v>6</v>
      </c>
      <c r="E235" s="2" t="str">
        <f t="array" ref="E235">INDEX('2024_Roster_Offseason'!$I$2:$I$301,MATCH(1,('2025_Draft_team'!$D235='2024_Roster_Offseason'!$A$2:$A$301)*('2025_Draft_team'!$B235='2024_Roster_Offseason'!$P$2:$P$301)*('2024_Roster_Offseason'!$Q$2:$Q$301="Y"),0))</f>
        <v>#N/A</v>
      </c>
    </row>
    <row r="236" ht="14.25" hidden="1" customHeight="1">
      <c r="B236" s="3">
        <v>24.0</v>
      </c>
      <c r="C236" s="3">
        <v>4.0</v>
      </c>
      <c r="D236" s="3" t="s">
        <v>7</v>
      </c>
      <c r="E236" s="3" t="str">
        <f t="array" ref="E236">INDEX('2024_Roster_Offseason'!$I$2:$I$301,MATCH(1,('2025_Draft_team'!$D236='2024_Roster_Offseason'!$A$2:$A$301)*('2025_Draft_team'!$B236='2024_Roster_Offseason'!$P$2:$P$301)*('2024_Roster_Offseason'!$Q$2:$Q$301="Y"),0))</f>
        <v>#N/A</v>
      </c>
    </row>
    <row r="237" ht="14.25" hidden="1" customHeight="1">
      <c r="B237" s="2">
        <v>24.0</v>
      </c>
      <c r="C237" s="2">
        <v>5.0</v>
      </c>
      <c r="D237" s="2" t="s">
        <v>8</v>
      </c>
      <c r="E237" s="2" t="str">
        <f t="array" ref="E237">INDEX('2024_Roster_Offseason'!$I$2:$I$301,MATCH(1,('2025_Draft_team'!$D237='2024_Roster_Offseason'!$A$2:$A$301)*('2025_Draft_team'!$B237='2024_Roster_Offseason'!$P$2:$P$301)*('2024_Roster_Offseason'!$Q$2:$Q$301="Y"),0))</f>
        <v>#N/A</v>
      </c>
    </row>
    <row r="238" ht="14.25" hidden="1" customHeight="1">
      <c r="B238" s="3">
        <v>24.0</v>
      </c>
      <c r="C238" s="3">
        <v>6.0</v>
      </c>
      <c r="D238" s="3" t="s">
        <v>9</v>
      </c>
      <c r="E238" s="3" t="str">
        <f t="array" ref="E238">INDEX('2024_Roster_Offseason'!$I$2:$I$301,MATCH(1,('2025_Draft_team'!$D238='2024_Roster_Offseason'!$A$2:$A$301)*('2025_Draft_team'!$B238='2024_Roster_Offseason'!$P$2:$P$301)*('2024_Roster_Offseason'!$Q$2:$Q$301="Y"),0))</f>
        <v>DrakeMaye</v>
      </c>
    </row>
    <row r="239" ht="14.25" hidden="1" customHeight="1">
      <c r="B239" s="2">
        <v>24.0</v>
      </c>
      <c r="C239" s="2">
        <v>7.0</v>
      </c>
      <c r="D239" s="2" t="s">
        <v>10</v>
      </c>
      <c r="E239" s="2" t="str">
        <f t="array" ref="E239">INDEX('2024_Roster_Offseason'!$I$2:$I$301,MATCH(1,('2025_Draft_team'!$D239='2024_Roster_Offseason'!$A$2:$A$301)*('2025_Draft_team'!$B239='2024_Roster_Offseason'!$P$2:$P$301)*('2024_Roster_Offseason'!$Q$2:$Q$301="Y"),0))</f>
        <v>#N/A</v>
      </c>
    </row>
    <row r="240" ht="14.25" hidden="1" customHeight="1">
      <c r="B240" s="3">
        <v>24.0</v>
      </c>
      <c r="C240" s="3">
        <v>8.0</v>
      </c>
      <c r="D240" s="3" t="s">
        <v>11</v>
      </c>
      <c r="E240" s="3" t="str">
        <f t="array" ref="E240">INDEX('2024_Roster_Offseason'!$I$2:$I$301,MATCH(1,('2025_Draft_team'!$D240='2024_Roster_Offseason'!$A$2:$A$301)*('2025_Draft_team'!$B240='2024_Roster_Offseason'!$P$2:$P$301)*('2024_Roster_Offseason'!$Q$2:$Q$301="Y"),0))</f>
        <v>#N/A</v>
      </c>
    </row>
    <row r="241" ht="14.25" hidden="1" customHeight="1">
      <c r="B241" s="2">
        <v>24.0</v>
      </c>
      <c r="C241" s="2">
        <v>9.0</v>
      </c>
      <c r="D241" s="2" t="s">
        <v>12</v>
      </c>
      <c r="E241" s="2" t="str">
        <f t="array" ref="E241">INDEX('2024_Roster_Offseason'!$I$2:$I$301,MATCH(1,('2025_Draft_team'!$D241='2024_Roster_Offseason'!$A$2:$A$301)*('2025_Draft_team'!$B241='2024_Roster_Offseason'!$P$2:$P$301)*('2024_Roster_Offseason'!$Q$2:$Q$301="Y"),0))</f>
        <v>#N/A</v>
      </c>
    </row>
    <row r="242" ht="14.25" hidden="1" customHeight="1">
      <c r="B242" s="3">
        <v>24.0</v>
      </c>
      <c r="C242" s="3">
        <v>10.0</v>
      </c>
      <c r="D242" s="3" t="s">
        <v>13</v>
      </c>
      <c r="E242" s="3" t="str">
        <f t="array" ref="E242">INDEX('2024_Roster_Offseason'!$I$2:$I$301,MATCH(1,('2025_Draft_team'!$D242='2024_Roster_Offseason'!$A$2:$A$301)*('2025_Draft_team'!$B242='2024_Roster_Offseason'!$P$2:$P$301)*('2024_Roster_Offseason'!$Q$2:$Q$301="Y"),0))</f>
        <v>#N/A</v>
      </c>
    </row>
    <row r="243" ht="14.25" hidden="1" customHeight="1">
      <c r="B243" s="2">
        <v>25.0</v>
      </c>
      <c r="C243" s="2">
        <v>1.0</v>
      </c>
      <c r="D243" s="2" t="s">
        <v>4</v>
      </c>
      <c r="E243" s="2" t="str">
        <f t="array" ref="E243">INDEX('2024_Roster_Offseason'!$I$2:$I$301,MATCH(1,('2025_Draft_team'!$D243='2024_Roster_Offseason'!$A$2:$A$301)*('2025_Draft_team'!$B243='2024_Roster_Offseason'!$P$2:$P$301)*('2024_Roster_Offseason'!$Q$2:$Q$301="Y"),0))</f>
        <v>#N/A</v>
      </c>
    </row>
    <row r="244" ht="14.25" hidden="1" customHeight="1">
      <c r="B244" s="3">
        <v>25.0</v>
      </c>
      <c r="C244" s="3">
        <v>2.0</v>
      </c>
      <c r="D244" s="3" t="s">
        <v>5</v>
      </c>
      <c r="E244" s="3" t="str">
        <f t="array" ref="E244">INDEX('2024_Roster_Offseason'!$I$2:$I$301,MATCH(1,('2025_Draft_team'!$D244='2024_Roster_Offseason'!$A$2:$A$301)*('2025_Draft_team'!$B244='2024_Roster_Offseason'!$P$2:$P$301)*('2024_Roster_Offseason'!$Q$2:$Q$301="Y"),0))</f>
        <v>#N/A</v>
      </c>
    </row>
    <row r="245" ht="14.25" customHeight="1">
      <c r="B245" s="2">
        <v>25.0</v>
      </c>
      <c r="C245" s="2">
        <v>3.0</v>
      </c>
      <c r="D245" s="2" t="s">
        <v>6</v>
      </c>
      <c r="E245" s="2" t="str">
        <f t="array" ref="E245">INDEX('2024_Roster_Offseason'!$I$2:$I$301,MATCH(1,('2025_Draft_team'!$D245='2024_Roster_Offseason'!$A$2:$A$301)*('2025_Draft_team'!$B245='2024_Roster_Offseason'!$P$2:$P$301)*('2024_Roster_Offseason'!$Q$2:$Q$301="Y"),0))</f>
        <v>#N/A</v>
      </c>
    </row>
    <row r="246" ht="14.25" hidden="1" customHeight="1">
      <c r="B246" s="3">
        <v>25.0</v>
      </c>
      <c r="C246" s="3">
        <v>4.0</v>
      </c>
      <c r="D246" s="3" t="s">
        <v>7</v>
      </c>
      <c r="E246" s="3" t="str">
        <f t="array" ref="E246">INDEX('2024_Roster_Offseason'!$I$2:$I$301,MATCH(1,('2025_Draft_team'!$D246='2024_Roster_Offseason'!$A$2:$A$301)*('2025_Draft_team'!$B246='2024_Roster_Offseason'!$P$2:$P$301)*('2024_Roster_Offseason'!$Q$2:$Q$301="Y"),0))</f>
        <v>#N/A</v>
      </c>
    </row>
    <row r="247" ht="14.25" hidden="1" customHeight="1">
      <c r="B247" s="2">
        <v>25.0</v>
      </c>
      <c r="C247" s="2">
        <v>5.0</v>
      </c>
      <c r="D247" s="2" t="s">
        <v>8</v>
      </c>
      <c r="E247" s="2" t="str">
        <f t="array" ref="E247">INDEX('2024_Roster_Offseason'!$I$2:$I$301,MATCH(1,('2025_Draft_team'!$D247='2024_Roster_Offseason'!$A$2:$A$301)*('2025_Draft_team'!$B247='2024_Roster_Offseason'!$P$2:$P$301)*('2024_Roster_Offseason'!$Q$2:$Q$301="Y"),0))</f>
        <v>TyroneTracyJr.</v>
      </c>
    </row>
    <row r="248" ht="14.25" hidden="1" customHeight="1">
      <c r="B248" s="3">
        <v>25.0</v>
      </c>
      <c r="C248" s="3">
        <v>6.0</v>
      </c>
      <c r="D248" s="3" t="s">
        <v>9</v>
      </c>
      <c r="E248" s="3" t="str">
        <f t="array" ref="E248">INDEX('2024_Roster_Offseason'!$I$2:$I$301,MATCH(1,('2025_Draft_team'!$D248='2024_Roster_Offseason'!$A$2:$A$301)*('2025_Draft_team'!$B248='2024_Roster_Offseason'!$P$2:$P$301)*('2024_Roster_Offseason'!$Q$2:$Q$301="Y"),0))</f>
        <v>#N/A</v>
      </c>
    </row>
    <row r="249" ht="14.25" hidden="1" customHeight="1">
      <c r="B249" s="2">
        <v>25.0</v>
      </c>
      <c r="C249" s="2">
        <v>7.0</v>
      </c>
      <c r="D249" s="2" t="s">
        <v>10</v>
      </c>
      <c r="E249" s="2" t="str">
        <f t="array" ref="E249">INDEX('2024_Roster_Offseason'!$I$2:$I$301,MATCH(1,('2025_Draft_team'!$D249='2024_Roster_Offseason'!$A$2:$A$301)*('2025_Draft_team'!$B249='2024_Roster_Offseason'!$P$2:$P$301)*('2024_Roster_Offseason'!$Q$2:$Q$301="Y"),0))</f>
        <v>JamesonWilliams</v>
      </c>
    </row>
    <row r="250" ht="14.25" hidden="1" customHeight="1">
      <c r="B250" s="3">
        <v>25.0</v>
      </c>
      <c r="C250" s="3">
        <v>8.0</v>
      </c>
      <c r="D250" s="3" t="s">
        <v>11</v>
      </c>
      <c r="E250" s="3" t="str">
        <f t="array" ref="E250">INDEX('2024_Roster_Offseason'!$I$2:$I$301,MATCH(1,('2025_Draft_team'!$D250='2024_Roster_Offseason'!$A$2:$A$301)*('2025_Draft_team'!$B250='2024_Roster_Offseason'!$P$2:$P$301)*('2024_Roster_Offseason'!$Q$2:$Q$301="Y"),0))</f>
        <v>#N/A</v>
      </c>
    </row>
    <row r="251" ht="14.25" hidden="1" customHeight="1">
      <c r="B251" s="2">
        <v>25.0</v>
      </c>
      <c r="C251" s="2">
        <v>9.0</v>
      </c>
      <c r="D251" s="2" t="s">
        <v>12</v>
      </c>
      <c r="E251" s="2" t="str">
        <f t="array" ref="E251">INDEX('2024_Roster_Offseason'!$I$2:$I$301,MATCH(1,('2025_Draft_team'!$D251='2024_Roster_Offseason'!$A$2:$A$301)*('2025_Draft_team'!$B251='2024_Roster_Offseason'!$P$2:$P$301)*('2024_Roster_Offseason'!$Q$2:$Q$301="Y"),0))</f>
        <v>ChubaHubbard</v>
      </c>
    </row>
    <row r="252" ht="14.25" hidden="1" customHeight="1">
      <c r="B252" s="3">
        <v>25.0</v>
      </c>
      <c r="C252" s="3">
        <v>10.0</v>
      </c>
      <c r="D252" s="3" t="s">
        <v>13</v>
      </c>
      <c r="E252" s="3" t="str">
        <f t="array" ref="E252">INDEX('2024_Roster_Offseason'!$I$2:$I$301,MATCH(1,('2025_Draft_team'!$D252='2024_Roster_Offseason'!$A$2:$A$301)*('2025_Draft_team'!$B252='2024_Roster_Offseason'!$P$2:$P$301)*('2024_Roster_Offseason'!$Q$2:$Q$301="Y"),0))</f>
        <v>#N/A</v>
      </c>
    </row>
    <row r="253" ht="14.25" hidden="1" customHeight="1">
      <c r="B253" s="2">
        <v>26.0</v>
      </c>
      <c r="C253" s="2">
        <v>1.0</v>
      </c>
      <c r="D253" s="2" t="s">
        <v>4</v>
      </c>
      <c r="E253" s="2" t="str">
        <f t="array" ref="E253">INDEX('2024_Roster_Offseason'!$I$2:$I$301,MATCH(1,('2025_Draft_team'!$D253='2024_Roster_Offseason'!$A$2:$A$301)*('2025_Draft_team'!$B253='2024_Roster_Offseason'!$P$2:$P$301)*('2024_Roster_Offseason'!$Q$2:$Q$301="Y"),0))</f>
        <v>#N/A</v>
      </c>
    </row>
    <row r="254" ht="14.25" hidden="1" customHeight="1">
      <c r="B254" s="3">
        <v>26.0</v>
      </c>
      <c r="C254" s="3">
        <v>2.0</v>
      </c>
      <c r="D254" s="3" t="s">
        <v>5</v>
      </c>
      <c r="E254" s="3" t="str">
        <f t="array" ref="E254">INDEX('2024_Roster_Offseason'!$I$2:$I$301,MATCH(1,('2025_Draft_team'!$D254='2024_Roster_Offseason'!$A$2:$A$301)*('2025_Draft_team'!$B254='2024_Roster_Offseason'!$P$2:$P$301)*('2024_Roster_Offseason'!$Q$2:$Q$301="Y"),0))</f>
        <v>#N/A</v>
      </c>
    </row>
    <row r="255" ht="14.25" customHeight="1">
      <c r="B255" s="2">
        <v>26.0</v>
      </c>
      <c r="C255" s="2">
        <v>3.0</v>
      </c>
      <c r="D255" s="2" t="s">
        <v>6</v>
      </c>
      <c r="E255" s="2" t="str">
        <f t="array" ref="E255">INDEX('2024_Roster_Offseason'!$I$2:$I$301,MATCH(1,('2025_Draft_team'!$D255='2024_Roster_Offseason'!$A$2:$A$301)*('2025_Draft_team'!$B255='2024_Roster_Offseason'!$P$2:$P$301)*('2024_Roster_Offseason'!$Q$2:$Q$301="Y"),0))</f>
        <v>HaasonReddick</v>
      </c>
    </row>
    <row r="256" ht="14.25" hidden="1" customHeight="1">
      <c r="B256" s="3">
        <v>26.0</v>
      </c>
      <c r="C256" s="3">
        <v>4.0</v>
      </c>
      <c r="D256" s="3" t="s">
        <v>7</v>
      </c>
      <c r="E256" s="3" t="str">
        <f t="array" ref="E256">INDEX('2024_Roster_Offseason'!$I$2:$I$301,MATCH(1,('2025_Draft_team'!$D256='2024_Roster_Offseason'!$A$2:$A$301)*('2025_Draft_team'!$B256='2024_Roster_Offseason'!$P$2:$P$301)*('2024_Roster_Offseason'!$Q$2:$Q$301="Y"),0))</f>
        <v>#N/A</v>
      </c>
    </row>
    <row r="257" ht="14.25" hidden="1" customHeight="1">
      <c r="B257" s="2">
        <v>26.0</v>
      </c>
      <c r="C257" s="2">
        <v>5.0</v>
      </c>
      <c r="D257" s="2" t="s">
        <v>8</v>
      </c>
      <c r="E257" s="2" t="str">
        <f t="array" ref="E257">INDEX('2024_Roster_Offseason'!$I$2:$I$301,MATCH(1,('2025_Draft_team'!$D257='2024_Roster_Offseason'!$A$2:$A$301)*('2025_Draft_team'!$B257='2024_Roster_Offseason'!$P$2:$P$301)*('2024_Roster_Offseason'!$Q$2:$Q$301="Y"),0))</f>
        <v>#N/A</v>
      </c>
    </row>
    <row r="258" ht="14.25" hidden="1" customHeight="1">
      <c r="B258" s="3">
        <v>26.0</v>
      </c>
      <c r="C258" s="3">
        <v>6.0</v>
      </c>
      <c r="D258" s="3" t="s">
        <v>9</v>
      </c>
      <c r="E258" s="3" t="str">
        <f t="array" ref="E258">INDEX('2024_Roster_Offseason'!$I$2:$I$301,MATCH(1,('2025_Draft_team'!$D258='2024_Roster_Offseason'!$A$2:$A$301)*('2025_Draft_team'!$B258='2024_Roster_Offseason'!$P$2:$P$301)*('2024_Roster_Offseason'!$Q$2:$Q$301="Y"),0))</f>
        <v>#N/A</v>
      </c>
    </row>
    <row r="259" ht="14.25" hidden="1" customHeight="1">
      <c r="B259" s="2">
        <v>26.0</v>
      </c>
      <c r="C259" s="2">
        <v>7.0</v>
      </c>
      <c r="D259" s="2" t="s">
        <v>10</v>
      </c>
      <c r="E259" s="2" t="str">
        <f t="array" ref="E259">INDEX('2024_Roster_Offseason'!$I$2:$I$301,MATCH(1,('2025_Draft_team'!$D259='2024_Roster_Offseason'!$A$2:$A$301)*('2025_Draft_team'!$B259='2024_Roster_Offseason'!$P$2:$P$301)*('2024_Roster_Offseason'!$Q$2:$Q$301="Y"),0))</f>
        <v>#N/A</v>
      </c>
    </row>
    <row r="260" ht="14.25" hidden="1" customHeight="1">
      <c r="B260" s="3">
        <v>26.0</v>
      </c>
      <c r="C260" s="3">
        <v>8.0</v>
      </c>
      <c r="D260" s="3" t="s">
        <v>11</v>
      </c>
      <c r="E260" s="3" t="str">
        <f t="array" ref="E260">INDEX('2024_Roster_Offseason'!$I$2:$I$301,MATCH(1,('2025_Draft_team'!$D260='2024_Roster_Offseason'!$A$2:$A$301)*('2025_Draft_team'!$B260='2024_Roster_Offseason'!$P$2:$P$301)*('2024_Roster_Offseason'!$Q$2:$Q$301="Y"),0))</f>
        <v>#N/A</v>
      </c>
    </row>
    <row r="261" ht="14.25" hidden="1" customHeight="1">
      <c r="B261" s="2">
        <v>26.0</v>
      </c>
      <c r="C261" s="2">
        <v>9.0</v>
      </c>
      <c r="D261" s="2" t="s">
        <v>12</v>
      </c>
      <c r="E261" s="2" t="str">
        <f t="array" ref="E261">INDEX('2024_Roster_Offseason'!$I$2:$I$301,MATCH(1,('2025_Draft_team'!$D261='2024_Roster_Offseason'!$A$2:$A$301)*('2025_Draft_team'!$B261='2024_Roster_Offseason'!$P$2:$P$301)*('2024_Roster_Offseason'!$Q$2:$Q$301="Y"),0))</f>
        <v>Ka'imiFairbairn</v>
      </c>
    </row>
    <row r="262" ht="14.25" hidden="1" customHeight="1">
      <c r="B262" s="3">
        <v>26.0</v>
      </c>
      <c r="C262" s="3">
        <v>10.0</v>
      </c>
      <c r="D262" s="3" t="s">
        <v>13</v>
      </c>
      <c r="E262" s="3" t="str">
        <f t="array" ref="E262">INDEX('2024_Roster_Offseason'!$I$2:$I$301,MATCH(1,('2025_Draft_team'!$D262='2024_Roster_Offseason'!$A$2:$A$301)*('2025_Draft_team'!$B262='2024_Roster_Offseason'!$P$2:$P$301)*('2024_Roster_Offseason'!$Q$2:$Q$301="Y"),0))</f>
        <v>#N/A</v>
      </c>
    </row>
    <row r="263" ht="14.25" hidden="1" customHeight="1">
      <c r="B263" s="2">
        <v>27.0</v>
      </c>
      <c r="C263" s="2">
        <v>1.0</v>
      </c>
      <c r="D263" s="2" t="s">
        <v>4</v>
      </c>
      <c r="E263" s="2" t="str">
        <f t="array" ref="E263">INDEX('2024_Roster_Offseason'!$I$2:$I$301,MATCH(1,('2025_Draft_team'!$D263='2024_Roster_Offseason'!$A$2:$A$301)*('2025_Draft_team'!$B263='2024_Roster_Offseason'!$P$2:$P$301)*('2024_Roster_Offseason'!$Q$2:$Q$301="Y"),0))</f>
        <v>#N/A</v>
      </c>
    </row>
    <row r="264" ht="14.25" hidden="1" customHeight="1">
      <c r="B264" s="3">
        <v>27.0</v>
      </c>
      <c r="C264" s="3">
        <v>2.0</v>
      </c>
      <c r="D264" s="3" t="s">
        <v>5</v>
      </c>
      <c r="E264" s="3" t="str">
        <f t="array" ref="E264">INDEX('2024_Roster_Offseason'!$I$2:$I$301,MATCH(1,('2025_Draft_team'!$D264='2024_Roster_Offseason'!$A$2:$A$301)*('2025_Draft_team'!$B264='2024_Roster_Offseason'!$P$2:$P$301)*('2024_Roster_Offseason'!$Q$2:$Q$301="Y"),0))</f>
        <v>#N/A</v>
      </c>
    </row>
    <row r="265" ht="14.25" customHeight="1">
      <c r="B265" s="2">
        <v>27.0</v>
      </c>
      <c r="C265" s="2">
        <v>3.0</v>
      </c>
      <c r="D265" s="2" t="s">
        <v>6</v>
      </c>
      <c r="E265" s="2" t="str">
        <f t="array" ref="E265">INDEX('2024_Roster_Offseason'!$I$2:$I$301,MATCH(1,('2025_Draft_team'!$D265='2024_Roster_Offseason'!$A$2:$A$301)*('2025_Draft_team'!$B265='2024_Roster_Offseason'!$P$2:$P$301)*('2024_Roster_Offseason'!$Q$2:$Q$301="Y"),0))</f>
        <v>#N/A</v>
      </c>
    </row>
    <row r="266" ht="14.25" hidden="1" customHeight="1">
      <c r="B266" s="3">
        <v>27.0</v>
      </c>
      <c r="C266" s="3">
        <v>4.0</v>
      </c>
      <c r="D266" s="3" t="s">
        <v>7</v>
      </c>
      <c r="E266" s="3" t="str">
        <f t="array" ref="E266">INDEX('2024_Roster_Offseason'!$I$2:$I$301,MATCH(1,('2025_Draft_team'!$D266='2024_Roster_Offseason'!$A$2:$A$301)*('2025_Draft_team'!$B266='2024_Roster_Offseason'!$P$2:$P$301)*('2024_Roster_Offseason'!$Q$2:$Q$301="Y"),0))</f>
        <v>#N/A</v>
      </c>
    </row>
    <row r="267" ht="14.25" hidden="1" customHeight="1">
      <c r="B267" s="2">
        <v>27.0</v>
      </c>
      <c r="C267" s="2">
        <v>5.0</v>
      </c>
      <c r="D267" s="2" t="s">
        <v>8</v>
      </c>
      <c r="E267" s="2" t="str">
        <f t="array" ref="E267">INDEX('2024_Roster_Offseason'!$I$2:$I$301,MATCH(1,('2025_Draft_team'!$D267='2024_Roster_Offseason'!$A$2:$A$301)*('2025_Draft_team'!$B267='2024_Roster_Offseason'!$P$2:$P$301)*('2024_Roster_Offseason'!$Q$2:$Q$301="Y"),0))</f>
        <v>KhalilShakir</v>
      </c>
    </row>
    <row r="268" ht="14.25" hidden="1" customHeight="1">
      <c r="B268" s="3">
        <v>27.0</v>
      </c>
      <c r="C268" s="3">
        <v>6.0</v>
      </c>
      <c r="D268" s="3" t="s">
        <v>9</v>
      </c>
      <c r="E268" s="3" t="str">
        <f t="array" ref="E268">INDEX('2024_Roster_Offseason'!$I$2:$I$301,MATCH(1,('2025_Draft_team'!$D268='2024_Roster_Offseason'!$A$2:$A$301)*('2025_Draft_team'!$B268='2024_Roster_Offseason'!$P$2:$P$301)*('2024_Roster_Offseason'!$Q$2:$Q$301="Y"),0))</f>
        <v>#N/A</v>
      </c>
    </row>
    <row r="269" ht="14.25" hidden="1" customHeight="1">
      <c r="B269" s="2">
        <v>27.0</v>
      </c>
      <c r="C269" s="2">
        <v>7.0</v>
      </c>
      <c r="D269" s="2" t="s">
        <v>10</v>
      </c>
      <c r="E269" s="2" t="str">
        <f t="array" ref="E269">INDEX('2024_Roster_Offseason'!$I$2:$I$301,MATCH(1,('2025_Draft_team'!$D269='2024_Roster_Offseason'!$A$2:$A$301)*('2025_Draft_team'!$B269='2024_Roster_Offseason'!$P$2:$P$301)*('2024_Roster_Offseason'!$Q$2:$Q$301="Y"),0))</f>
        <v>#N/A</v>
      </c>
    </row>
    <row r="270" ht="14.25" hidden="1" customHeight="1">
      <c r="B270" s="3">
        <v>27.0</v>
      </c>
      <c r="C270" s="3">
        <v>8.0</v>
      </c>
      <c r="D270" s="3" t="s">
        <v>11</v>
      </c>
      <c r="E270" s="3" t="str">
        <f t="array" ref="E270">INDEX('2024_Roster_Offseason'!$I$2:$I$301,MATCH(1,('2025_Draft_team'!$D270='2024_Roster_Offseason'!$A$2:$A$301)*('2025_Draft_team'!$B270='2024_Roster_Offseason'!$P$2:$P$301)*('2024_Roster_Offseason'!$Q$2:$Q$301="Y"),0))</f>
        <v>#N/A</v>
      </c>
    </row>
    <row r="271" ht="14.25" hidden="1" customHeight="1">
      <c r="B271" s="2">
        <v>27.0</v>
      </c>
      <c r="C271" s="2">
        <v>9.0</v>
      </c>
      <c r="D271" s="2" t="s">
        <v>12</v>
      </c>
      <c r="E271" s="2" t="str">
        <f t="array" ref="E271">INDEX('2024_Roster_Offseason'!$I$2:$I$301,MATCH(1,('2025_Draft_team'!$D271='2024_Roster_Offseason'!$A$2:$A$301)*('2025_Draft_team'!$B271='2024_Roster_Offseason'!$P$2:$P$301)*('2024_Roster_Offseason'!$Q$2:$Q$301="Y"),0))</f>
        <v>MicahMcFadden</v>
      </c>
    </row>
    <row r="272" ht="14.25" hidden="1" customHeight="1">
      <c r="B272" s="3">
        <v>27.0</v>
      </c>
      <c r="C272" s="3">
        <v>10.0</v>
      </c>
      <c r="D272" s="3" t="s">
        <v>13</v>
      </c>
      <c r="E272" s="3" t="str">
        <f t="array" ref="E272">INDEX('2024_Roster_Offseason'!$I$2:$I$301,MATCH(1,('2025_Draft_team'!$D272='2024_Roster_Offseason'!$A$2:$A$301)*('2025_Draft_team'!$B272='2024_Roster_Offseason'!$P$2:$P$301)*('2024_Roster_Offseason'!$Q$2:$Q$301="Y"),0))</f>
        <v>#N/A</v>
      </c>
    </row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E$272">
    <filterColumn colId="2">
      <filters>
        <filter val="Woody and the Jets!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3.38"/>
    <col customWidth="1" hidden="1" min="3" max="3" width="18.63"/>
    <col customWidth="1" hidden="1" min="4" max="4" width="18.88"/>
    <col customWidth="1" hidden="1" min="5" max="5" width="15.63"/>
    <col customWidth="1" hidden="1" min="6" max="6" width="12.88"/>
    <col customWidth="1" hidden="1" min="7" max="7" width="11.88"/>
    <col customWidth="1" hidden="1" min="8" max="8" width="10.63"/>
    <col customWidth="1" min="9" max="9" width="19.13"/>
    <col customWidth="1" hidden="1" min="10" max="14" width="33.13"/>
    <col customWidth="1" min="15" max="15" width="25.38"/>
    <col customWidth="1" min="16" max="16" width="21.13"/>
    <col customWidth="1" min="17" max="17" width="9.13"/>
    <col customWidth="1" min="18" max="26" width="33.13"/>
  </cols>
  <sheetData>
    <row r="1" ht="14.25" customHeight="1">
      <c r="A1" s="4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3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5" t="s">
        <v>27</v>
      </c>
      <c r="Q1" s="1" t="s">
        <v>28</v>
      </c>
    </row>
    <row r="2" ht="14.25" customHeight="1">
      <c r="A2" s="6" t="s">
        <v>5</v>
      </c>
      <c r="B2" s="2" t="s">
        <v>29</v>
      </c>
      <c r="C2" s="2" t="s">
        <v>30</v>
      </c>
      <c r="D2" s="2" t="s">
        <v>31</v>
      </c>
      <c r="E2" s="2" t="s">
        <v>29</v>
      </c>
      <c r="F2" s="2" t="s">
        <v>32</v>
      </c>
      <c r="G2" s="2" t="s">
        <v>33</v>
      </c>
      <c r="H2" s="2"/>
      <c r="I2" s="2" t="str">
        <f>'2024_Roster_Offseason'!$C2&amp;'2024_Roster_Offseason'!$D2</f>
        <v>DerekCarr</v>
      </c>
      <c r="J2" s="7">
        <v>0.36</v>
      </c>
      <c r="K2" s="7">
        <v>0.05</v>
      </c>
      <c r="L2" s="2">
        <v>0.0</v>
      </c>
      <c r="M2" s="2">
        <v>33.6</v>
      </c>
      <c r="N2" s="2">
        <v>0.0</v>
      </c>
      <c r="O2" s="2" t="str">
        <f t="array" ref="O2">INDEX('2024_Transactions'!$J$2:$J$339,MATCH(1,('2024_Transactions'!$C$2:$C$339='2024_Roster_Offseason'!$I2)*('2024_Roster_Offseason'!$A2='2024_Transactions'!$B$2:$B$339),0))</f>
        <v>#N/A</v>
      </c>
      <c r="P2" s="8">
        <f t="array" ref="P2">INDEX('2024_Draft_team'!$J$2:$J$271,MATCH(1,('2024_Roster_Offseason'!$I2='2024_Draft_team'!$Q$2:$Q$271)*('2024_Roster_Offseason'!$A2='2024_Draft_team'!$B$2:$B$271),0))</f>
        <v>6</v>
      </c>
      <c r="Q2" s="9" t="s">
        <v>34</v>
      </c>
    </row>
    <row r="3" ht="14.25" customHeight="1">
      <c r="A3" s="3" t="s">
        <v>5</v>
      </c>
      <c r="B3" s="3" t="s">
        <v>29</v>
      </c>
      <c r="C3" s="3" t="s">
        <v>35</v>
      </c>
      <c r="D3" s="3" t="s">
        <v>36</v>
      </c>
      <c r="E3" s="3" t="s">
        <v>29</v>
      </c>
      <c r="F3" s="3" t="s">
        <v>32</v>
      </c>
      <c r="G3" s="3" t="s">
        <v>37</v>
      </c>
      <c r="H3" s="3"/>
      <c r="I3" s="3" t="str">
        <f>'2024_Roster_Offseason'!$C3&amp;'2024_Roster_Offseason'!$D3</f>
        <v>BrockPurdy</v>
      </c>
      <c r="J3" s="10">
        <v>0.94</v>
      </c>
      <c r="K3" s="10">
        <v>0.48</v>
      </c>
      <c r="L3" s="3">
        <v>0.0</v>
      </c>
      <c r="M3" s="3">
        <v>38.07</v>
      </c>
      <c r="N3" s="3">
        <v>0.0</v>
      </c>
      <c r="O3" s="3" t="str">
        <f t="array" ref="O3">INDEX('2024_Transactions'!$J$2:$J$339,MATCH(1,('2024_Transactions'!$C$2:$C$339='2024_Roster_Offseason'!$I3)*('2024_Roster_Offseason'!$A3='2024_Transactions'!$B$2:$B$339),0))</f>
        <v>#N/A</v>
      </c>
      <c r="P3" s="11">
        <f t="array" ref="P3">INDEX('2024_Draft_team'!$J$2:$J$271,MATCH(1,('2024_Roster_Offseason'!$I3='2024_Draft_team'!$Q$2:$Q$271)*('2024_Roster_Offseason'!$A3='2024_Draft_team'!$B$2:$B$271),0))</f>
        <v>8</v>
      </c>
      <c r="Q3" s="12" t="s">
        <v>38</v>
      </c>
    </row>
    <row r="4" ht="14.25" customHeight="1">
      <c r="A4" s="2" t="s">
        <v>5</v>
      </c>
      <c r="B4" s="2" t="s">
        <v>39</v>
      </c>
      <c r="C4" s="2" t="s">
        <v>40</v>
      </c>
      <c r="D4" s="2" t="s">
        <v>41</v>
      </c>
      <c r="E4" s="2" t="s">
        <v>39</v>
      </c>
      <c r="F4" s="2" t="s">
        <v>32</v>
      </c>
      <c r="G4" s="2" t="s">
        <v>42</v>
      </c>
      <c r="H4" s="2"/>
      <c r="I4" s="2" t="str">
        <f>'2024_Roster_Offseason'!$C4&amp;'2024_Roster_Offseason'!$D4</f>
        <v>NickChubb</v>
      </c>
      <c r="J4" s="7">
        <v>0.74</v>
      </c>
      <c r="K4" s="7">
        <v>0.19</v>
      </c>
      <c r="L4" s="2">
        <v>0.0</v>
      </c>
      <c r="M4" s="2">
        <v>13.38</v>
      </c>
      <c r="N4" s="2">
        <v>0.0</v>
      </c>
      <c r="O4" s="2" t="str">
        <f t="array" ref="O4">INDEX('2024_Transactions'!$J$2:$J$339,MATCH(1,('2024_Transactions'!$C$2:$C$339='2024_Roster_Offseason'!$I4)*('2024_Roster_Offseason'!$A4='2024_Transactions'!$B$2:$B$339),0))</f>
        <v>#N/A</v>
      </c>
      <c r="P4" s="8">
        <f t="array" ref="P4">INDEX('2024_Draft_team'!$J$2:$J$271,MATCH(1,('2024_Roster_Offseason'!$I4='2024_Draft_team'!$Q$2:$Q$271)*('2024_Roster_Offseason'!$A4='2024_Draft_team'!$B$2:$B$271),0))</f>
        <v>16</v>
      </c>
      <c r="Q4" s="9" t="s">
        <v>34</v>
      </c>
    </row>
    <row r="5" ht="14.25" customHeight="1">
      <c r="A5" s="3" t="s">
        <v>5</v>
      </c>
      <c r="B5" s="3" t="s">
        <v>39</v>
      </c>
      <c r="C5" s="3" t="s">
        <v>43</v>
      </c>
      <c r="D5" s="3" t="s">
        <v>44</v>
      </c>
      <c r="E5" s="3" t="s">
        <v>39</v>
      </c>
      <c r="F5" s="3" t="s">
        <v>32</v>
      </c>
      <c r="G5" s="3" t="s">
        <v>45</v>
      </c>
      <c r="H5" s="3"/>
      <c r="I5" s="3" t="str">
        <f>'2024_Roster_Offseason'!$C5&amp;'2024_Roster_Offseason'!$D5</f>
        <v>JoshJacobs</v>
      </c>
      <c r="J5" s="10">
        <v>1.0</v>
      </c>
      <c r="K5" s="10">
        <v>0.98</v>
      </c>
      <c r="L5" s="3">
        <v>0.0</v>
      </c>
      <c r="M5" s="3">
        <v>30.06</v>
      </c>
      <c r="N5" s="3">
        <v>0.0</v>
      </c>
      <c r="O5" s="3" t="str">
        <f t="array" ref="O5">INDEX('2024_Transactions'!$J$2:$J$339,MATCH(1,('2024_Transactions'!$C$2:$C$339='2024_Roster_Offseason'!$I5)*('2024_Roster_Offseason'!$A5='2024_Transactions'!$B$2:$B$339),0))</f>
        <v>#N/A</v>
      </c>
      <c r="P5" s="11">
        <f t="array" ref="P5">INDEX('2024_Draft_team'!$J$2:$J$271,MATCH(1,('2024_Roster_Offseason'!$I5='2024_Draft_team'!$Q$2:$Q$271)*('2024_Roster_Offseason'!$A5='2024_Draft_team'!$B$2:$B$271),0))</f>
        <v>1</v>
      </c>
      <c r="Q5" s="12" t="s">
        <v>34</v>
      </c>
    </row>
    <row r="6" ht="14.25" customHeight="1">
      <c r="A6" s="2" t="s">
        <v>5</v>
      </c>
      <c r="B6" s="2" t="s">
        <v>46</v>
      </c>
      <c r="C6" s="2" t="s">
        <v>47</v>
      </c>
      <c r="D6" s="2" t="s">
        <v>48</v>
      </c>
      <c r="E6" s="2" t="s">
        <v>46</v>
      </c>
      <c r="F6" s="2" t="s">
        <v>32</v>
      </c>
      <c r="G6" s="2" t="s">
        <v>49</v>
      </c>
      <c r="H6" s="2"/>
      <c r="I6" s="2" t="str">
        <f>'2024_Roster_Offseason'!$C6&amp;'2024_Roster_Offseason'!$D6</f>
        <v>DavanteAdams</v>
      </c>
      <c r="J6" s="7">
        <v>1.0</v>
      </c>
      <c r="K6" s="7">
        <v>0.88</v>
      </c>
      <c r="L6" s="2">
        <v>0.0</v>
      </c>
      <c r="M6" s="2">
        <v>27.0</v>
      </c>
      <c r="N6" s="2">
        <v>0.0</v>
      </c>
      <c r="O6" s="2" t="str">
        <f t="array" ref="O6">INDEX('2024_Transactions'!$J$2:$J$339,MATCH(1,('2024_Transactions'!$C$2:$C$339='2024_Roster_Offseason'!$I6)*('2024_Roster_Offseason'!$A6='2024_Transactions'!$B$2:$B$339),0))</f>
        <v>#N/A</v>
      </c>
      <c r="P6" s="8">
        <f t="array" ref="P6">INDEX('2024_Draft_team'!$J$2:$J$271,MATCH(1,('2024_Roster_Offseason'!$I6='2024_Draft_team'!$Q$2:$Q$271)*('2024_Roster_Offseason'!$A6='2024_Draft_team'!$B$2:$B$271),0))</f>
        <v>3</v>
      </c>
      <c r="Q6" s="9" t="s">
        <v>34</v>
      </c>
    </row>
    <row r="7" ht="14.25" customHeight="1">
      <c r="A7" s="3" t="s">
        <v>5</v>
      </c>
      <c r="B7" s="3" t="s">
        <v>46</v>
      </c>
      <c r="C7" s="3" t="s">
        <v>50</v>
      </c>
      <c r="D7" s="3" t="s">
        <v>51</v>
      </c>
      <c r="E7" s="3" t="s">
        <v>46</v>
      </c>
      <c r="F7" s="3" t="s">
        <v>32</v>
      </c>
      <c r="G7" s="3" t="s">
        <v>37</v>
      </c>
      <c r="H7" s="3"/>
      <c r="I7" s="3" t="str">
        <f>'2024_Roster_Offseason'!$C7&amp;'2024_Roster_Offseason'!$D7</f>
        <v>JauanJennings</v>
      </c>
      <c r="J7" s="10">
        <v>0.94</v>
      </c>
      <c r="K7" s="10">
        <v>0.61</v>
      </c>
      <c r="L7" s="3">
        <v>0.0</v>
      </c>
      <c r="M7" s="3">
        <v>22.13</v>
      </c>
      <c r="N7" s="3">
        <v>0.0</v>
      </c>
      <c r="O7" s="3" t="str">
        <f t="array" ref="O7">INDEX('2024_Transactions'!$J$2:$J$339,MATCH(1,('2024_Transactions'!$C$2:$C$339='2024_Roster_Offseason'!$I7)*('2024_Roster_Offseason'!$A7='2024_Transactions'!$B$2:$B$339),0))</f>
        <v>Signed</v>
      </c>
      <c r="P7" s="13">
        <f t="array" ref="P7">IFERROR(INDEX('2024_Draft_team'!$J$2:$J$271,MATCH(1,('2024_Roster_Offseason'!$I7='2024_Draft_team'!$Q$2:$Q$271)*('2024_Roster_Offseason'!$A7='2024_Draft_team'!$B$2:$B$271),0)),15)</f>
        <v>15</v>
      </c>
      <c r="Q7" s="12" t="s">
        <v>38</v>
      </c>
    </row>
    <row r="8" ht="14.25" customHeight="1">
      <c r="A8" s="2" t="s">
        <v>5</v>
      </c>
      <c r="B8" s="2" t="s">
        <v>46</v>
      </c>
      <c r="C8" s="2" t="s">
        <v>52</v>
      </c>
      <c r="D8" s="2" t="s">
        <v>53</v>
      </c>
      <c r="E8" s="2" t="s">
        <v>46</v>
      </c>
      <c r="F8" s="2" t="s">
        <v>32</v>
      </c>
      <c r="G8" s="2" t="s">
        <v>54</v>
      </c>
      <c r="H8" s="2"/>
      <c r="I8" s="2" t="str">
        <f>'2024_Roster_Offseason'!$C8&amp;'2024_Roster_Offseason'!$D8</f>
        <v>QuentinJohnston</v>
      </c>
      <c r="J8" s="7">
        <v>0.8</v>
      </c>
      <c r="K8" s="7">
        <v>0.28</v>
      </c>
      <c r="L8" s="2">
        <v>0.0</v>
      </c>
      <c r="M8" s="2">
        <v>18.93</v>
      </c>
      <c r="N8" s="2">
        <v>0.0</v>
      </c>
      <c r="O8" s="2" t="str">
        <f t="array" ref="O8">INDEX('2024_Transactions'!$J$2:$J$339,MATCH(1,('2024_Transactions'!$C$2:$C$339='2024_Roster_Offseason'!$I8)*('2024_Roster_Offseason'!$A8='2024_Transactions'!$B$2:$B$339),0))</f>
        <v>Signed</v>
      </c>
      <c r="P8" s="14">
        <f t="array" ref="P8">IFERROR(INDEX('2024_Draft_team'!$J$2:$J$271,MATCH(1,('2024_Roster_Offseason'!$I8='2024_Draft_team'!$Q$2:$Q$271)*('2024_Roster_Offseason'!$A8='2024_Draft_team'!$B$2:$B$271),0)),15)</f>
        <v>15</v>
      </c>
      <c r="Q8" s="9" t="s">
        <v>34</v>
      </c>
    </row>
    <row r="9" ht="14.25" customHeight="1">
      <c r="A9" s="3" t="s">
        <v>5</v>
      </c>
      <c r="B9" s="3" t="s">
        <v>55</v>
      </c>
      <c r="C9" s="3" t="s">
        <v>56</v>
      </c>
      <c r="D9" s="3" t="s">
        <v>57</v>
      </c>
      <c r="E9" s="3" t="s">
        <v>55</v>
      </c>
      <c r="F9" s="3" t="s">
        <v>32</v>
      </c>
      <c r="G9" s="3" t="s">
        <v>58</v>
      </c>
      <c r="H9" s="3"/>
      <c r="I9" s="3" t="str">
        <f>'2024_Roster_Offseason'!$C9&amp;'2024_Roster_Offseason'!$D9</f>
        <v>JasonSanders</v>
      </c>
      <c r="J9" s="10">
        <v>0.87</v>
      </c>
      <c r="K9" s="10">
        <v>0.73</v>
      </c>
      <c r="L9" s="3">
        <v>0.0</v>
      </c>
      <c r="M9" s="3">
        <v>20.18</v>
      </c>
      <c r="N9" s="3">
        <v>0.0</v>
      </c>
      <c r="O9" s="3" t="str">
        <f t="array" ref="O9">INDEX('2024_Transactions'!$J$2:$J$339,MATCH(1,('2024_Transactions'!$C$2:$C$339='2024_Roster_Offseason'!$I9)*('2024_Roster_Offseason'!$A9='2024_Transactions'!$B$2:$B$339),0))</f>
        <v>Signed</v>
      </c>
      <c r="P9" s="13">
        <f t="array" ref="P9">IFERROR(INDEX('2024_Draft_team'!$J$2:$J$271,MATCH(1,('2024_Roster_Offseason'!$I9='2024_Draft_team'!$Q$2:$Q$271)*('2024_Roster_Offseason'!$A9='2024_Draft_team'!$B$2:$B$271),0)),15)</f>
        <v>15</v>
      </c>
      <c r="Q9" s="12" t="s">
        <v>34</v>
      </c>
    </row>
    <row r="10" ht="14.25" customHeight="1">
      <c r="A10" s="2" t="s">
        <v>5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59</v>
      </c>
      <c r="G10" s="2" t="s">
        <v>32</v>
      </c>
      <c r="H10" s="2" t="s">
        <v>63</v>
      </c>
      <c r="I10" s="2" t="str">
        <f>'2024_Roster_Offseason'!$C10&amp;'2024_Roster_Offseason'!$D10&amp;'2024_Roster_Offseason'!$E10</f>
        <v>JessieBatesIII</v>
      </c>
      <c r="J10" s="7">
        <v>0.64</v>
      </c>
      <c r="K10" s="7">
        <v>0.52</v>
      </c>
      <c r="L10" s="2">
        <v>0.0</v>
      </c>
      <c r="M10" s="2">
        <v>19.76</v>
      </c>
      <c r="N10" s="2">
        <v>0.0</v>
      </c>
      <c r="O10" s="2" t="str">
        <f t="array" ref="O10">INDEX('2024_Transactions'!$J$2:$J$339,MATCH(1,('2024_Transactions'!$C$2:$C$339='2024_Roster_Offseason'!$I10)*('2024_Roster_Offseason'!$A10='2024_Transactions'!$B$2:$B$339),0))</f>
        <v>#N/A</v>
      </c>
      <c r="P10" s="8">
        <f t="array" ref="P10">INDEX('2024_Draft_team'!$J$2:$J$271,MATCH(1,('2024_Roster_Offseason'!$I10='2024_Draft_team'!$Q$2:$Q$271)*('2024_Roster_Offseason'!$A10='2024_Draft_team'!$B$2:$B$271),0))</f>
        <v>11</v>
      </c>
      <c r="Q10" s="9" t="s">
        <v>38</v>
      </c>
    </row>
    <row r="11" ht="14.25" customHeight="1">
      <c r="A11" s="3" t="s">
        <v>5</v>
      </c>
      <c r="B11" s="3" t="s">
        <v>59</v>
      </c>
      <c r="C11" s="3" t="s">
        <v>64</v>
      </c>
      <c r="D11" s="3" t="s">
        <v>65</v>
      </c>
      <c r="E11" s="3" t="s">
        <v>59</v>
      </c>
      <c r="F11" s="3" t="s">
        <v>32</v>
      </c>
      <c r="G11" s="3" t="s">
        <v>66</v>
      </c>
      <c r="H11" s="3"/>
      <c r="I11" s="3" t="str">
        <f>'2024_Roster_Offseason'!$C11&amp;'2024_Roster_Offseason'!$D11</f>
        <v>KevinByard</v>
      </c>
      <c r="J11" s="10">
        <v>0.54</v>
      </c>
      <c r="K11" s="10">
        <v>0.45</v>
      </c>
      <c r="L11" s="3">
        <v>0.0</v>
      </c>
      <c r="M11" s="3">
        <v>20.82</v>
      </c>
      <c r="N11" s="3">
        <v>0.0</v>
      </c>
      <c r="O11" s="3" t="str">
        <f t="array" ref="O11">INDEX('2024_Transactions'!$J$2:$J$339,MATCH(1,('2024_Transactions'!$C$2:$C$339='2024_Roster_Offseason'!$I11)*('2024_Roster_Offseason'!$A11='2024_Transactions'!$B$2:$B$339),0))</f>
        <v>Signed</v>
      </c>
      <c r="P11" s="13">
        <f t="array" ref="P11">IFERROR(INDEX('2024_Draft_team'!$J$2:$J$271,MATCH(1,('2024_Roster_Offseason'!$I11='2024_Draft_team'!$Q$2:$Q$271)*('2024_Roster_Offseason'!$A11='2024_Draft_team'!$B$2:$B$271),0)),15)</f>
        <v>15</v>
      </c>
      <c r="Q11" s="12" t="s">
        <v>34</v>
      </c>
    </row>
    <row r="12" ht="14.25" customHeight="1">
      <c r="A12" s="2" t="s">
        <v>5</v>
      </c>
      <c r="B12" s="2" t="s">
        <v>59</v>
      </c>
      <c r="C12" s="2" t="s">
        <v>67</v>
      </c>
      <c r="D12" s="2" t="s">
        <v>68</v>
      </c>
      <c r="E12" s="2" t="s">
        <v>59</v>
      </c>
      <c r="F12" s="2" t="s">
        <v>32</v>
      </c>
      <c r="G12" s="2" t="s">
        <v>42</v>
      </c>
      <c r="H12" s="2"/>
      <c r="I12" s="2" t="str">
        <f>'2024_Roster_Offseason'!$C12&amp;'2024_Roster_Offseason'!$D12</f>
        <v>GrantDelpit</v>
      </c>
      <c r="J12" s="7">
        <v>0.55</v>
      </c>
      <c r="K12" s="7">
        <v>0.47</v>
      </c>
      <c r="L12" s="2">
        <v>0.0</v>
      </c>
      <c r="M12" s="2">
        <v>17.19</v>
      </c>
      <c r="N12" s="2">
        <v>0.0</v>
      </c>
      <c r="O12" s="2" t="str">
        <f t="array" ref="O12">INDEX('2024_Transactions'!$J$2:$J$339,MATCH(1,('2024_Transactions'!$C$2:$C$339='2024_Roster_Offseason'!$I12)*('2024_Roster_Offseason'!$A12='2024_Transactions'!$B$2:$B$339),0))</f>
        <v>#N/A</v>
      </c>
      <c r="P12" s="8">
        <f t="array" ref="P12">INDEX('2024_Draft_team'!$J$2:$J$271,MATCH(1,('2024_Roster_Offseason'!$I12='2024_Draft_team'!$Q$2:$Q$271)*('2024_Roster_Offseason'!$A12='2024_Draft_team'!$B$2:$B$271),0))</f>
        <v>18</v>
      </c>
      <c r="Q12" s="9" t="s">
        <v>34</v>
      </c>
    </row>
    <row r="13" ht="14.25" customHeight="1">
      <c r="A13" s="3" t="s">
        <v>5</v>
      </c>
      <c r="B13" s="3" t="s">
        <v>59</v>
      </c>
      <c r="C13" s="3" t="s">
        <v>69</v>
      </c>
      <c r="D13" s="3" t="s">
        <v>70</v>
      </c>
      <c r="E13" s="3" t="s">
        <v>59</v>
      </c>
      <c r="F13" s="3" t="s">
        <v>32</v>
      </c>
      <c r="G13" s="3" t="s">
        <v>71</v>
      </c>
      <c r="H13" s="3"/>
      <c r="I13" s="3" t="str">
        <f>'2024_Roster_Offseason'!$C13&amp;'2024_Roster_Offseason'!$D13</f>
        <v>AmaniHooker</v>
      </c>
      <c r="J13" s="10">
        <v>0.66</v>
      </c>
      <c r="K13" s="10">
        <v>0.47</v>
      </c>
      <c r="L13" s="3">
        <v>0.0</v>
      </c>
      <c r="M13" s="3">
        <v>19.14</v>
      </c>
      <c r="N13" s="3">
        <v>0.0</v>
      </c>
      <c r="O13" s="3" t="str">
        <f t="array" ref="O13">INDEX('2024_Transactions'!$J$2:$J$339,MATCH(1,('2024_Transactions'!$C$2:$C$339='2024_Roster_Offseason'!$I13)*('2024_Roster_Offseason'!$A13='2024_Transactions'!$B$2:$B$339),0))</f>
        <v>#N/A</v>
      </c>
      <c r="P13" s="11">
        <f t="array" ref="P13">INDEX('2024_Draft_team'!$J$2:$J$271,MATCH(1,('2024_Roster_Offseason'!$I13='2024_Draft_team'!$Q$2:$Q$271)*('2024_Roster_Offseason'!$A13='2024_Draft_team'!$B$2:$B$271),0))</f>
        <v>9</v>
      </c>
      <c r="Q13" s="12" t="s">
        <v>34</v>
      </c>
    </row>
    <row r="14" ht="14.25" customHeight="1">
      <c r="A14" s="2" t="s">
        <v>5</v>
      </c>
      <c r="B14" s="2" t="s">
        <v>59</v>
      </c>
      <c r="C14" s="2" t="s">
        <v>72</v>
      </c>
      <c r="D14" s="2" t="s">
        <v>73</v>
      </c>
      <c r="E14" s="2" t="s">
        <v>59</v>
      </c>
      <c r="F14" s="2" t="s">
        <v>32</v>
      </c>
      <c r="G14" s="2" t="s">
        <v>45</v>
      </c>
      <c r="H14" s="2"/>
      <c r="I14" s="2" t="str">
        <f>'2024_Roster_Offseason'!$C14&amp;'2024_Roster_Offseason'!$D14</f>
        <v>XavierMcKinney</v>
      </c>
      <c r="J14" s="7">
        <v>0.73</v>
      </c>
      <c r="K14" s="7">
        <v>0.64</v>
      </c>
      <c r="L14" s="2">
        <v>0.0</v>
      </c>
      <c r="M14" s="2">
        <v>22.06</v>
      </c>
      <c r="N14" s="2">
        <v>0.0</v>
      </c>
      <c r="O14" s="2" t="str">
        <f t="array" ref="O14">INDEX('2024_Transactions'!$J$2:$J$339,MATCH(1,('2024_Transactions'!$C$2:$C$339='2024_Roster_Offseason'!$I14)*('2024_Roster_Offseason'!$A14='2024_Transactions'!$B$2:$B$339),0))</f>
        <v>#N/A</v>
      </c>
      <c r="P14" s="8">
        <f t="array" ref="P14">INDEX('2024_Draft_team'!$J$2:$J$271,MATCH(1,('2024_Roster_Offseason'!$I14='2024_Draft_team'!$Q$2:$Q$271)*('2024_Roster_Offseason'!$A14='2024_Draft_team'!$B$2:$B$271),0))</f>
        <v>10</v>
      </c>
      <c r="Q14" s="9" t="s">
        <v>34</v>
      </c>
    </row>
    <row r="15" ht="14.25" customHeight="1">
      <c r="A15" s="3" t="s">
        <v>5</v>
      </c>
      <c r="B15" s="3" t="s">
        <v>59</v>
      </c>
      <c r="C15" s="3" t="s">
        <v>74</v>
      </c>
      <c r="D15" s="3" t="s">
        <v>75</v>
      </c>
      <c r="E15" s="3" t="s">
        <v>59</v>
      </c>
      <c r="F15" s="3" t="s">
        <v>32</v>
      </c>
      <c r="G15" s="3" t="s">
        <v>76</v>
      </c>
      <c r="H15" s="3"/>
      <c r="I15" s="3" t="str">
        <f>'2024_Roster_Offseason'!$C15&amp;'2024_Roster_Offseason'!$D15</f>
        <v>TrevonMoehrig</v>
      </c>
      <c r="J15" s="10">
        <v>0.38</v>
      </c>
      <c r="K15" s="10">
        <v>0.3</v>
      </c>
      <c r="L15" s="3">
        <v>0.0</v>
      </c>
      <c r="M15" s="3">
        <v>18.0</v>
      </c>
      <c r="N15" s="3">
        <v>0.0</v>
      </c>
      <c r="O15" s="3" t="str">
        <f t="array" ref="O15">INDEX('2024_Transactions'!$J$2:$J$339,MATCH(1,('2024_Transactions'!$C$2:$C$339='2024_Roster_Offseason'!$I15)*('2024_Roster_Offseason'!$A15='2024_Transactions'!$B$2:$B$339),0))</f>
        <v>Signed</v>
      </c>
      <c r="P15" s="13">
        <f t="array" ref="P15">IFERROR(INDEX('2024_Draft_team'!$J$2:$J$271,MATCH(1,('2024_Roster_Offseason'!$I15='2024_Draft_team'!$Q$2:$Q$271)*('2024_Roster_Offseason'!$A15='2024_Draft_team'!$B$2:$B$271),0)),15)</f>
        <v>15</v>
      </c>
      <c r="Q15" s="12" t="s">
        <v>34</v>
      </c>
    </row>
    <row r="16" ht="14.25" customHeight="1">
      <c r="A16" s="2" t="s">
        <v>5</v>
      </c>
      <c r="B16" s="2" t="s">
        <v>59</v>
      </c>
      <c r="C16" s="2" t="s">
        <v>77</v>
      </c>
      <c r="D16" s="2" t="s">
        <v>78</v>
      </c>
      <c r="E16" s="2" t="s">
        <v>59</v>
      </c>
      <c r="F16" s="2" t="s">
        <v>32</v>
      </c>
      <c r="G16" s="2" t="s">
        <v>79</v>
      </c>
      <c r="H16" s="2"/>
      <c r="I16" s="2" t="str">
        <f>'2024_Roster_Offseason'!$C16&amp;'2024_Roster_Offseason'!$D16</f>
        <v>ByronMurphy</v>
      </c>
      <c r="J16" s="7">
        <v>0.28</v>
      </c>
      <c r="K16" s="7">
        <v>0.21</v>
      </c>
      <c r="L16" s="2">
        <v>0.0</v>
      </c>
      <c r="M16" s="2">
        <v>20.29</v>
      </c>
      <c r="N16" s="2">
        <v>0.0</v>
      </c>
      <c r="O16" s="2" t="str">
        <f t="array" ref="O16">INDEX('2024_Transactions'!$J$2:$J$339,MATCH(1,('2024_Transactions'!$C$2:$C$339='2024_Roster_Offseason'!$I16)*('2024_Roster_Offseason'!$A16='2024_Transactions'!$B$2:$B$339),0))</f>
        <v>Signed</v>
      </c>
      <c r="P16" s="14">
        <f t="array" ref="P16">IFERROR(INDEX('2024_Draft_team'!$J$2:$J$271,MATCH(1,('2024_Roster_Offseason'!$I16='2024_Draft_team'!$Q$2:$Q$271)*('2024_Roster_Offseason'!$A16='2024_Draft_team'!$B$2:$B$271),0)),15)</f>
        <v>15</v>
      </c>
      <c r="Q16" s="9" t="s">
        <v>34</v>
      </c>
    </row>
    <row r="17" ht="14.25" customHeight="1">
      <c r="A17" s="3" t="s">
        <v>5</v>
      </c>
      <c r="B17" s="3" t="s">
        <v>29</v>
      </c>
      <c r="C17" s="3" t="s">
        <v>80</v>
      </c>
      <c r="D17" s="3" t="s">
        <v>81</v>
      </c>
      <c r="E17" s="3" t="s">
        <v>29</v>
      </c>
      <c r="F17" s="3" t="s">
        <v>32</v>
      </c>
      <c r="G17" s="3" t="s">
        <v>82</v>
      </c>
      <c r="H17" s="3"/>
      <c r="I17" s="3" t="str">
        <f>'2024_Roster_Offseason'!$C17&amp;'2024_Roster_Offseason'!$D17</f>
        <v>TommyDeVito</v>
      </c>
      <c r="J17" s="10">
        <v>0.06</v>
      </c>
      <c r="K17" s="10">
        <v>0.01</v>
      </c>
      <c r="L17" s="3">
        <v>0.0</v>
      </c>
      <c r="M17" s="3">
        <v>11.67</v>
      </c>
      <c r="N17" s="3">
        <v>0.0</v>
      </c>
      <c r="O17" s="3" t="str">
        <f t="array" ref="O17">INDEX('2024_Transactions'!$J$2:$J$339,MATCH(1,('2024_Transactions'!$C$2:$C$339='2024_Roster_Offseason'!$I17)*('2024_Roster_Offseason'!$A17='2024_Transactions'!$B$2:$B$339),0))</f>
        <v>Signed</v>
      </c>
      <c r="P17" s="13">
        <f t="array" ref="P17">IFERROR(INDEX('2024_Draft_team'!$J$2:$J$271,MATCH(1,('2024_Roster_Offseason'!$I17='2024_Draft_team'!$Q$2:$Q$271)*('2024_Roster_Offseason'!$A17='2024_Draft_team'!$B$2:$B$271),0)),15)</f>
        <v>15</v>
      </c>
      <c r="Q17" s="12" t="s">
        <v>34</v>
      </c>
    </row>
    <row r="18" ht="14.25" customHeight="1">
      <c r="A18" s="2" t="s">
        <v>5</v>
      </c>
      <c r="B18" s="2" t="s">
        <v>29</v>
      </c>
      <c r="C18" s="2" t="s">
        <v>83</v>
      </c>
      <c r="D18" s="2" t="s">
        <v>84</v>
      </c>
      <c r="E18" s="2" t="s">
        <v>29</v>
      </c>
      <c r="F18" s="2" t="s">
        <v>32</v>
      </c>
      <c r="G18" s="2" t="s">
        <v>42</v>
      </c>
      <c r="H18" s="2"/>
      <c r="I18" s="2" t="str">
        <f>'2024_Roster_Offseason'!$C18&amp;'2024_Roster_Offseason'!$D18</f>
        <v>JameisWinston</v>
      </c>
      <c r="J18" s="7">
        <v>0.34</v>
      </c>
      <c r="K18" s="7">
        <v>0.07</v>
      </c>
      <c r="L18" s="2">
        <v>0.0</v>
      </c>
      <c r="M18" s="2">
        <v>24.0</v>
      </c>
      <c r="N18" s="2">
        <v>0.0</v>
      </c>
      <c r="O18" s="2" t="str">
        <f t="array" ref="O18">INDEX('2024_Transactions'!$J$2:$J$339,MATCH(1,('2024_Transactions'!$C$2:$C$339='2024_Roster_Offseason'!$I18)*('2024_Roster_Offseason'!$A18='2024_Transactions'!$B$2:$B$339),0))</f>
        <v>Signed</v>
      </c>
      <c r="P18" s="14">
        <f t="array" ref="P18">IFERROR(INDEX('2024_Draft_team'!$J$2:$J$271,MATCH(1,('2024_Roster_Offseason'!$I18='2024_Draft_team'!$Q$2:$Q$271)*('2024_Roster_Offseason'!$A18='2024_Draft_team'!$B$2:$B$271),0)),15)</f>
        <v>15</v>
      </c>
      <c r="Q18" s="9" t="s">
        <v>34</v>
      </c>
    </row>
    <row r="19" ht="14.25" customHeight="1">
      <c r="A19" s="3" t="s">
        <v>5</v>
      </c>
      <c r="B19" s="3" t="s">
        <v>39</v>
      </c>
      <c r="C19" s="3" t="s">
        <v>85</v>
      </c>
      <c r="D19" s="3" t="s">
        <v>86</v>
      </c>
      <c r="E19" s="3" t="s">
        <v>39</v>
      </c>
      <c r="F19" s="3" t="s">
        <v>32</v>
      </c>
      <c r="G19" s="3" t="s">
        <v>87</v>
      </c>
      <c r="H19" s="3"/>
      <c r="I19" s="3" t="str">
        <f>'2024_Roster_Offseason'!$C19&amp;'2024_Roster_Offseason'!$D19</f>
        <v>RicoDowdle</v>
      </c>
      <c r="J19" s="10">
        <v>0.97</v>
      </c>
      <c r="K19" s="10">
        <v>0.75</v>
      </c>
      <c r="L19" s="3">
        <v>0.0</v>
      </c>
      <c r="M19" s="3">
        <v>19.5</v>
      </c>
      <c r="N19" s="3">
        <v>0.0</v>
      </c>
      <c r="O19" s="3" t="str">
        <f t="array" ref="O19">INDEX('2024_Transactions'!$J$2:$J$339,MATCH(1,('2024_Transactions'!$C$2:$C$339='2024_Roster_Offseason'!$I19)*('2024_Roster_Offseason'!$A19='2024_Transactions'!$B$2:$B$339),0))</f>
        <v>#N/A</v>
      </c>
      <c r="P19" s="11">
        <f t="array" ref="P19">INDEX('2024_Draft_team'!$J$2:$J$271,MATCH(1,('2024_Roster_Offseason'!$I19='2024_Draft_team'!$Q$2:$Q$271)*('2024_Roster_Offseason'!$A19='2024_Draft_team'!$B$2:$B$271),0))</f>
        <v>19</v>
      </c>
      <c r="Q19" s="12" t="s">
        <v>34</v>
      </c>
    </row>
    <row r="20" ht="14.25" customHeight="1">
      <c r="A20" s="2" t="s">
        <v>5</v>
      </c>
      <c r="B20" s="2" t="s">
        <v>39</v>
      </c>
      <c r="C20" s="2" t="s">
        <v>88</v>
      </c>
      <c r="D20" s="2" t="s">
        <v>89</v>
      </c>
      <c r="E20" s="2" t="s">
        <v>39</v>
      </c>
      <c r="F20" s="2" t="s">
        <v>32</v>
      </c>
      <c r="G20" s="2" t="s">
        <v>90</v>
      </c>
      <c r="H20" s="2"/>
      <c r="I20" s="2" t="str">
        <f>'2024_Roster_Offseason'!$C20&amp;'2024_Roster_Offseason'!$D20</f>
        <v>KareemHunt</v>
      </c>
      <c r="J20" s="7">
        <v>0.8</v>
      </c>
      <c r="K20" s="7">
        <v>0.17</v>
      </c>
      <c r="L20" s="2">
        <v>1.0</v>
      </c>
      <c r="M20" s="2">
        <v>21.77</v>
      </c>
      <c r="N20" s="2">
        <v>0.0</v>
      </c>
      <c r="O20" s="2" t="str">
        <f t="array" ref="O20">INDEX('2024_Transactions'!$J$2:$J$339,MATCH(1,('2024_Transactions'!$C$2:$C$339='2024_Roster_Offseason'!$I20)*('2024_Roster_Offseason'!$A20='2024_Transactions'!$B$2:$B$339),0))</f>
        <v>Signed</v>
      </c>
      <c r="P20" s="14">
        <f t="array" ref="P20">IFERROR(INDEX('2024_Draft_team'!$J$2:$J$271,MATCH(1,('2024_Roster_Offseason'!$I20='2024_Draft_team'!$Q$2:$Q$271)*('2024_Roster_Offseason'!$A20='2024_Draft_team'!$B$2:$B$271),0)),15)</f>
        <v>15</v>
      </c>
      <c r="Q20" s="9" t="s">
        <v>34</v>
      </c>
    </row>
    <row r="21" ht="14.25" customHeight="1">
      <c r="A21" s="3" t="s">
        <v>5</v>
      </c>
      <c r="B21" s="3" t="s">
        <v>46</v>
      </c>
      <c r="C21" s="3" t="s">
        <v>91</v>
      </c>
      <c r="D21" s="3" t="s">
        <v>92</v>
      </c>
      <c r="E21" s="3" t="s">
        <v>46</v>
      </c>
      <c r="F21" s="3" t="s">
        <v>32</v>
      </c>
      <c r="G21" s="3" t="s">
        <v>93</v>
      </c>
      <c r="H21" s="3"/>
      <c r="I21" s="3" t="str">
        <f>'2024_Roster_Offseason'!$C21&amp;'2024_Roster_Offseason'!$D21</f>
        <v>AmariCooper</v>
      </c>
      <c r="J21" s="10">
        <v>0.91</v>
      </c>
      <c r="K21" s="10">
        <v>0.31</v>
      </c>
      <c r="L21" s="3">
        <v>0.0</v>
      </c>
      <c r="M21" s="3">
        <v>16.07</v>
      </c>
      <c r="N21" s="3">
        <v>0.0</v>
      </c>
      <c r="O21" s="3" t="str">
        <f t="array" ref="O21">INDEX('2024_Transactions'!$J$2:$J$339,MATCH(1,('2024_Transactions'!$C$2:$C$339='2024_Roster_Offseason'!$I21)*('2024_Roster_Offseason'!$A21='2024_Transactions'!$B$2:$B$339),0))</f>
        <v>#N/A</v>
      </c>
      <c r="P21" s="11">
        <f t="array" ref="P21">INDEX('2024_Draft_team'!$J$2:$J$271,MATCH(1,('2024_Roster_Offseason'!$I21='2024_Draft_team'!$Q$2:$Q$271)*('2024_Roster_Offseason'!$A21='2024_Draft_team'!$B$2:$B$271),0))</f>
        <v>7</v>
      </c>
      <c r="Q21" s="12" t="s">
        <v>34</v>
      </c>
    </row>
    <row r="22" ht="14.25" customHeight="1">
      <c r="A22" s="2" t="s">
        <v>5</v>
      </c>
      <c r="B22" s="2" t="s">
        <v>46</v>
      </c>
      <c r="C22" s="2" t="s">
        <v>94</v>
      </c>
      <c r="D22" s="2" t="s">
        <v>95</v>
      </c>
      <c r="E22" s="2" t="s">
        <v>46</v>
      </c>
      <c r="F22" s="2" t="s">
        <v>32</v>
      </c>
      <c r="G22" s="2" t="s">
        <v>49</v>
      </c>
      <c r="H22" s="2"/>
      <c r="I22" s="2" t="str">
        <f>'2024_Roster_Offseason'!$C22&amp;'2024_Roster_Offseason'!$D22</f>
        <v>AllenLazard</v>
      </c>
      <c r="J22" s="7">
        <v>0.22</v>
      </c>
      <c r="K22" s="7">
        <v>0.03</v>
      </c>
      <c r="L22" s="2">
        <v>0.0</v>
      </c>
      <c r="M22" s="2">
        <v>17.33</v>
      </c>
      <c r="N22" s="2">
        <v>0.0</v>
      </c>
      <c r="O22" s="2" t="str">
        <f t="array" ref="O22">INDEX('2024_Transactions'!$J$2:$J$339,MATCH(1,('2024_Transactions'!$C$2:$C$339='2024_Roster_Offseason'!$I22)*('2024_Roster_Offseason'!$A22='2024_Transactions'!$B$2:$B$339),0))</f>
        <v>Signed</v>
      </c>
      <c r="P22" s="14">
        <f t="array" ref="P22">IFERROR(INDEX('2024_Draft_team'!$J$2:$J$271,MATCH(1,('2024_Roster_Offseason'!$I22='2024_Draft_team'!$Q$2:$Q$271)*('2024_Roster_Offseason'!$A22='2024_Draft_team'!$B$2:$B$271),0)),15)</f>
        <v>15</v>
      </c>
      <c r="Q22" s="9" t="s">
        <v>34</v>
      </c>
    </row>
    <row r="23" ht="14.25" customHeight="1">
      <c r="A23" s="3" t="s">
        <v>5</v>
      </c>
      <c r="B23" s="3" t="s">
        <v>46</v>
      </c>
      <c r="C23" s="3" t="s">
        <v>96</v>
      </c>
      <c r="D23" s="3" t="s">
        <v>97</v>
      </c>
      <c r="E23" s="3" t="s">
        <v>46</v>
      </c>
      <c r="F23" s="3" t="s">
        <v>32</v>
      </c>
      <c r="G23" s="3" t="s">
        <v>98</v>
      </c>
      <c r="H23" s="3"/>
      <c r="I23" s="3" t="str">
        <f>'2024_Roster_Offseason'!$C23&amp;'2024_Roster_Offseason'!$D23</f>
        <v>TerryMcLaurin</v>
      </c>
      <c r="J23" s="10">
        <v>0.99</v>
      </c>
      <c r="K23" s="10">
        <v>0.84</v>
      </c>
      <c r="L23" s="3">
        <v>0.0</v>
      </c>
      <c r="M23" s="3">
        <v>30.53</v>
      </c>
      <c r="N23" s="3">
        <v>0.0</v>
      </c>
      <c r="O23" s="3" t="str">
        <f t="array" ref="O23">INDEX('2024_Transactions'!$J$2:$J$339,MATCH(1,('2024_Transactions'!$C$2:$C$339='2024_Roster_Offseason'!$I23)*('2024_Roster_Offseason'!$A23='2024_Transactions'!$B$2:$B$339),0))</f>
        <v>#N/A</v>
      </c>
      <c r="P23" s="11">
        <f t="array" ref="P23">INDEX('2024_Draft_team'!$J$2:$J$271,MATCH(1,('2024_Roster_Offseason'!$I23='2024_Draft_team'!$Q$2:$Q$271)*('2024_Roster_Offseason'!$A23='2024_Draft_team'!$B$2:$B$271),0))</f>
        <v>13</v>
      </c>
      <c r="Q23" s="12" t="s">
        <v>38</v>
      </c>
    </row>
    <row r="24" ht="14.25" customHeight="1">
      <c r="A24" s="2" t="s">
        <v>5</v>
      </c>
      <c r="B24" s="2" t="s">
        <v>59</v>
      </c>
      <c r="C24" s="2" t="s">
        <v>99</v>
      </c>
      <c r="D24" s="2" t="s">
        <v>100</v>
      </c>
      <c r="E24" s="2" t="s">
        <v>59</v>
      </c>
      <c r="F24" s="2" t="s">
        <v>32</v>
      </c>
      <c r="G24" s="2" t="s">
        <v>90</v>
      </c>
      <c r="H24" s="2"/>
      <c r="I24" s="2" t="str">
        <f>'2024_Roster_Offseason'!$C24&amp;'2024_Roster_Offseason'!$D24</f>
        <v>ChamarriConner</v>
      </c>
      <c r="J24" s="7">
        <v>0.15</v>
      </c>
      <c r="K24" s="7">
        <v>0.07</v>
      </c>
      <c r="L24" s="2">
        <v>16.0</v>
      </c>
      <c r="M24" s="2">
        <v>21.4</v>
      </c>
      <c r="N24" s="2">
        <v>0.0</v>
      </c>
      <c r="O24" s="2" t="str">
        <f t="array" ref="O24">INDEX('2024_Transactions'!$J$2:$J$339,MATCH(1,('2024_Transactions'!$C$2:$C$339='2024_Roster_Offseason'!$I24)*('2024_Roster_Offseason'!$A24='2024_Transactions'!$B$2:$B$339),0))</f>
        <v>Signed</v>
      </c>
      <c r="P24" s="14">
        <f t="array" ref="P24">IFERROR(INDEX('2024_Draft_team'!$J$2:$J$271,MATCH(1,('2024_Roster_Offseason'!$I24='2024_Draft_team'!$Q$2:$Q$271)*('2024_Roster_Offseason'!$A24='2024_Draft_team'!$B$2:$B$271),0)),15)</f>
        <v>15</v>
      </c>
      <c r="Q24" s="9" t="s">
        <v>34</v>
      </c>
    </row>
    <row r="25" ht="14.25" customHeight="1">
      <c r="A25" s="3" t="s">
        <v>5</v>
      </c>
      <c r="B25" s="3" t="s">
        <v>59</v>
      </c>
      <c r="C25" s="3" t="s">
        <v>101</v>
      </c>
      <c r="D25" s="3" t="s">
        <v>102</v>
      </c>
      <c r="E25" s="3" t="s">
        <v>59</v>
      </c>
      <c r="F25" s="3" t="s">
        <v>32</v>
      </c>
      <c r="G25" s="3" t="s">
        <v>103</v>
      </c>
      <c r="H25" s="3"/>
      <c r="I25" s="3" t="str">
        <f>'2024_Roster_Offseason'!$C25&amp;'2024_Roster_Offseason'!$D25</f>
        <v>BrandonJones</v>
      </c>
      <c r="J25" s="10">
        <v>0.73</v>
      </c>
      <c r="K25" s="10">
        <v>0.58</v>
      </c>
      <c r="L25" s="3">
        <v>0.0</v>
      </c>
      <c r="M25" s="3">
        <v>22.62</v>
      </c>
      <c r="N25" s="3">
        <v>0.0</v>
      </c>
      <c r="O25" s="3" t="str">
        <f t="array" ref="O25">INDEX('2024_Transactions'!$J$2:$J$339,MATCH(1,('2024_Transactions'!$C$2:$C$339='2024_Roster_Offseason'!$I25)*('2024_Roster_Offseason'!$A25='2024_Transactions'!$B$2:$B$339),0))</f>
        <v>Signed</v>
      </c>
      <c r="P25" s="13">
        <f t="array" ref="P25">IFERROR(INDEX('2024_Draft_team'!$J$2:$J$271,MATCH(1,('2024_Roster_Offseason'!$I25='2024_Draft_team'!$Q$2:$Q$271)*('2024_Roster_Offseason'!$A25='2024_Draft_team'!$B$2:$B$271),0)),15)</f>
        <v>15</v>
      </c>
      <c r="Q25" s="12" t="s">
        <v>34</v>
      </c>
    </row>
    <row r="26" ht="14.25" customHeight="1">
      <c r="A26" s="2" t="s">
        <v>5</v>
      </c>
      <c r="B26" s="2" t="s">
        <v>59</v>
      </c>
      <c r="C26" s="2" t="s">
        <v>104</v>
      </c>
      <c r="D26" s="2" t="s">
        <v>102</v>
      </c>
      <c r="E26" s="2" t="s">
        <v>59</v>
      </c>
      <c r="F26" s="2" t="s">
        <v>32</v>
      </c>
      <c r="G26" s="2" t="s">
        <v>105</v>
      </c>
      <c r="H26" s="2"/>
      <c r="I26" s="2" t="str">
        <f>'2024_Roster_Offseason'!$C26&amp;'2024_Roster_Offseason'!$D26</f>
        <v>JaylonJones</v>
      </c>
      <c r="J26" s="7">
        <v>0.2</v>
      </c>
      <c r="K26" s="7">
        <v>0.06</v>
      </c>
      <c r="L26" s="2">
        <v>0.0</v>
      </c>
      <c r="M26" s="2">
        <v>17.24</v>
      </c>
      <c r="N26" s="2">
        <v>0.0</v>
      </c>
      <c r="O26" s="2" t="str">
        <f t="array" ref="O26">INDEX('2024_Transactions'!$J$2:$J$339,MATCH(1,('2024_Transactions'!$C$2:$C$339='2024_Roster_Offseason'!$I26)*('2024_Roster_Offseason'!$A26='2024_Transactions'!$B$2:$B$339),0))</f>
        <v>Signed</v>
      </c>
      <c r="P26" s="14">
        <f t="array" ref="P26">IFERROR(INDEX('2024_Draft_team'!$J$2:$J$271,MATCH(1,('2024_Roster_Offseason'!$I26='2024_Draft_team'!$Q$2:$Q$271)*('2024_Roster_Offseason'!$A26='2024_Draft_team'!$B$2:$B$271),0)),15)</f>
        <v>15</v>
      </c>
      <c r="Q26" s="9" t="s">
        <v>34</v>
      </c>
    </row>
    <row r="27" ht="14.25" customHeight="1">
      <c r="A27" s="3" t="s">
        <v>5</v>
      </c>
      <c r="B27" s="3" t="s">
        <v>59</v>
      </c>
      <c r="C27" s="3" t="s">
        <v>106</v>
      </c>
      <c r="D27" s="3" t="s">
        <v>107</v>
      </c>
      <c r="E27" s="3" t="s">
        <v>59</v>
      </c>
      <c r="F27" s="3" t="s">
        <v>32</v>
      </c>
      <c r="G27" s="3" t="s">
        <v>82</v>
      </c>
      <c r="H27" s="3"/>
      <c r="I27" s="3" t="str">
        <f>'2024_Roster_Offseason'!$C27&amp;'2024_Roster_Offseason'!$D27</f>
        <v>KayvonThibodeaux</v>
      </c>
      <c r="J27" s="10">
        <v>0.31</v>
      </c>
      <c r="K27" s="10">
        <v>0.17</v>
      </c>
      <c r="L27" s="3">
        <v>0.0</v>
      </c>
      <c r="M27" s="3">
        <v>11.0</v>
      </c>
      <c r="N27" s="3">
        <v>0.0</v>
      </c>
      <c r="O27" s="3" t="str">
        <f t="array" ref="O27">INDEX('2024_Transactions'!$J$2:$J$339,MATCH(1,('2024_Transactions'!$C$2:$C$339='2024_Roster_Offseason'!$I27)*('2024_Roster_Offseason'!$A27='2024_Transactions'!$B$2:$B$339),0))</f>
        <v>#N/A</v>
      </c>
      <c r="P27" s="11">
        <f t="array" ref="P27">INDEX('2024_Draft_team'!$J$2:$J$271,MATCH(1,('2024_Roster_Offseason'!$I27='2024_Draft_team'!$Q$2:$Q$271)*('2024_Roster_Offseason'!$A27='2024_Draft_team'!$B$2:$B$271),0))</f>
        <v>7</v>
      </c>
      <c r="Q27" s="12" t="s">
        <v>34</v>
      </c>
    </row>
    <row r="28" ht="14.25" customHeight="1">
      <c r="A28" s="2" t="s">
        <v>5</v>
      </c>
      <c r="B28" s="2" t="s">
        <v>59</v>
      </c>
      <c r="C28" s="2" t="s">
        <v>108</v>
      </c>
      <c r="D28" s="2" t="s">
        <v>109</v>
      </c>
      <c r="E28" s="2" t="s">
        <v>59</v>
      </c>
      <c r="F28" s="2" t="s">
        <v>32</v>
      </c>
      <c r="G28" s="2" t="s">
        <v>110</v>
      </c>
      <c r="H28" s="2"/>
      <c r="I28" s="2" t="str">
        <f>'2024_Roster_Offseason'!$C28&amp;'2024_Roster_Offseason'!$D28</f>
        <v>DevonWitherspoon</v>
      </c>
      <c r="J28" s="7">
        <v>0.4</v>
      </c>
      <c r="K28" s="7">
        <v>0.27</v>
      </c>
      <c r="L28" s="2">
        <v>0.0</v>
      </c>
      <c r="M28" s="2">
        <v>15.94</v>
      </c>
      <c r="N28" s="2">
        <v>0.0</v>
      </c>
      <c r="O28" s="2" t="str">
        <f t="array" ref="O28">INDEX('2024_Transactions'!$J$2:$J$339,MATCH(1,('2024_Transactions'!$C$2:$C$339='2024_Roster_Offseason'!$I28)*('2024_Roster_Offseason'!$A28='2024_Transactions'!$B$2:$B$339),0))</f>
        <v>#N/A</v>
      </c>
      <c r="P28" s="8">
        <f t="array" ref="P28">INDEX('2024_Draft_team'!$J$2:$J$271,MATCH(1,('2024_Roster_Offseason'!$I28='2024_Draft_team'!$Q$2:$Q$271)*('2024_Roster_Offseason'!$A28='2024_Draft_team'!$B$2:$B$271),0))</f>
        <v>18</v>
      </c>
      <c r="Q28" s="9" t="s">
        <v>38</v>
      </c>
    </row>
    <row r="29" ht="14.25" customHeight="1">
      <c r="A29" s="3" t="s">
        <v>5</v>
      </c>
      <c r="B29" s="3" t="s">
        <v>29</v>
      </c>
      <c r="C29" s="3" t="s">
        <v>111</v>
      </c>
      <c r="D29" s="3" t="s">
        <v>112</v>
      </c>
      <c r="E29" s="3" t="s">
        <v>29</v>
      </c>
      <c r="F29" s="3" t="s">
        <v>32</v>
      </c>
      <c r="G29" s="3" t="s">
        <v>87</v>
      </c>
      <c r="H29" s="3"/>
      <c r="I29" s="3" t="str">
        <f>'2024_Roster_Offseason'!$C29&amp;'2024_Roster_Offseason'!$D29</f>
        <v>DakPrescott</v>
      </c>
      <c r="J29" s="10">
        <v>0.2</v>
      </c>
      <c r="K29" s="10">
        <v>0.03</v>
      </c>
      <c r="L29" s="3">
        <v>0.0</v>
      </c>
      <c r="M29" s="3">
        <v>33.88</v>
      </c>
      <c r="N29" s="3">
        <v>0.0</v>
      </c>
      <c r="O29" s="3" t="str">
        <f t="array" ref="O29">INDEX('2024_Transactions'!$J$2:$J$339,MATCH(1,('2024_Transactions'!$C$2:$C$339='2024_Roster_Offseason'!$I29)*('2024_Roster_Offseason'!$A29='2024_Transactions'!$B$2:$B$339),0))</f>
        <v>#N/A</v>
      </c>
      <c r="P29" s="11" t="str">
        <f t="array" ref="P29">INDEX('2024_Draft_team'!$J$2:$J$271,MATCH(1,('2024_Roster_Offseason'!$I29='2024_Draft_team'!$Q$2:$Q$271)*('2024_Roster_Offseason'!$A29='2024_Draft_team'!$B$2:$B$271),0))</f>
        <v>N/A</v>
      </c>
      <c r="Q29" s="12" t="s">
        <v>34</v>
      </c>
    </row>
    <row r="30" ht="14.25" customHeight="1">
      <c r="A30" s="2" t="s">
        <v>5</v>
      </c>
      <c r="B30" s="2" t="s">
        <v>39</v>
      </c>
      <c r="C30" s="2" t="s">
        <v>113</v>
      </c>
      <c r="D30" s="2" t="s">
        <v>114</v>
      </c>
      <c r="E30" s="2" t="s">
        <v>39</v>
      </c>
      <c r="F30" s="2" t="s">
        <v>32</v>
      </c>
      <c r="G30" s="2" t="s">
        <v>37</v>
      </c>
      <c r="H30" s="2"/>
      <c r="I30" s="2" t="str">
        <f>'2024_Roster_Offseason'!$C30&amp;'2024_Roster_Offseason'!$D30</f>
        <v>ChristianMcCaffrey</v>
      </c>
      <c r="J30" s="7">
        <v>0.58</v>
      </c>
      <c r="K30" s="7">
        <v>0.07</v>
      </c>
      <c r="L30" s="2">
        <v>0.0</v>
      </c>
      <c r="M30" s="2">
        <v>16.0</v>
      </c>
      <c r="N30" s="2">
        <v>0.0</v>
      </c>
      <c r="O30" s="2" t="str">
        <f t="array" ref="O30">INDEX('2024_Transactions'!$J$2:$J$339,MATCH(1,('2024_Transactions'!$C$2:$C$339='2024_Roster_Offseason'!$I30)*('2024_Roster_Offseason'!$A30='2024_Transactions'!$B$2:$B$339),0))</f>
        <v>#N/A</v>
      </c>
      <c r="P30" s="8" t="str">
        <f t="array" ref="P30">INDEX('2024_Draft_team'!$J$2:$J$271,MATCH(1,('2024_Roster_Offseason'!$I30='2024_Draft_team'!$Q$2:$Q$271)*('2024_Roster_Offseason'!$A30='2024_Draft_team'!$B$2:$B$271),0))</f>
        <v>N/A</v>
      </c>
      <c r="Q30" s="9" t="s">
        <v>34</v>
      </c>
    </row>
    <row r="31" ht="14.25" customHeight="1">
      <c r="A31" s="3" t="s">
        <v>5</v>
      </c>
      <c r="B31" s="3" t="s">
        <v>46</v>
      </c>
      <c r="C31" s="3" t="s">
        <v>115</v>
      </c>
      <c r="D31" s="3" t="s">
        <v>116</v>
      </c>
      <c r="E31" s="3" t="s">
        <v>46</v>
      </c>
      <c r="F31" s="3" t="s">
        <v>32</v>
      </c>
      <c r="G31" s="3" t="s">
        <v>33</v>
      </c>
      <c r="H31" s="3"/>
      <c r="I31" s="3" t="str">
        <f>'2024_Roster_Offseason'!$C31&amp;'2024_Roster_Offseason'!$D31</f>
        <v>RashidShaheed</v>
      </c>
      <c r="J31" s="10">
        <v>0.15</v>
      </c>
      <c r="K31" s="10">
        <v>0.01</v>
      </c>
      <c r="L31" s="3">
        <v>0.0</v>
      </c>
      <c r="M31" s="3">
        <v>21.0</v>
      </c>
      <c r="N31" s="3">
        <v>0.0</v>
      </c>
      <c r="O31" s="3" t="str">
        <f t="array" ref="O31">INDEX('2024_Transactions'!$J$2:$J$339,MATCH(1,('2024_Transactions'!$C$2:$C$339='2024_Roster_Offseason'!$I31)*('2024_Roster_Offseason'!$A31='2024_Transactions'!$B$2:$B$339),0))</f>
        <v>Signed</v>
      </c>
      <c r="P31" s="13">
        <f t="array" ref="P31">IFERROR(INDEX('2024_Draft_team'!$J$2:$J$271,MATCH(1,('2024_Roster_Offseason'!$I31='2024_Draft_team'!$Q$2:$Q$271)*('2024_Roster_Offseason'!$A31='2024_Draft_team'!$B$2:$B$271),0)),15)</f>
        <v>15</v>
      </c>
      <c r="Q31" s="12" t="s">
        <v>34</v>
      </c>
    </row>
    <row r="32" ht="14.25" customHeight="1">
      <c r="A32" s="2" t="s">
        <v>5</v>
      </c>
      <c r="B32" s="2" t="s">
        <v>59</v>
      </c>
      <c r="C32" s="2" t="s">
        <v>117</v>
      </c>
      <c r="D32" s="2" t="s">
        <v>118</v>
      </c>
      <c r="E32" s="2" t="s">
        <v>59</v>
      </c>
      <c r="F32" s="2" t="s">
        <v>32</v>
      </c>
      <c r="G32" s="2" t="s">
        <v>119</v>
      </c>
      <c r="H32" s="2"/>
      <c r="I32" s="2" t="str">
        <f>'2024_Roster_Offseason'!$C32&amp;'2024_Roster_Offseason'!$D32</f>
        <v>DaxtonHill</v>
      </c>
      <c r="J32" s="7">
        <v>0.07</v>
      </c>
      <c r="K32" s="7">
        <v>0.01</v>
      </c>
      <c r="L32" s="2">
        <v>0.0</v>
      </c>
      <c r="M32" s="2">
        <v>16.2</v>
      </c>
      <c r="N32" s="2">
        <v>0.0</v>
      </c>
      <c r="O32" s="2" t="str">
        <f t="array" ref="O32">INDEX('2024_Transactions'!$J$2:$J$339,MATCH(1,('2024_Transactions'!$C$2:$C$339='2024_Roster_Offseason'!$I32)*('2024_Roster_Offseason'!$A32='2024_Transactions'!$B$2:$B$339),0))</f>
        <v>#N/A</v>
      </c>
      <c r="P32" s="8">
        <f t="array" ref="P32">INDEX('2024_Draft_team'!$J$2:$J$271,MATCH(1,('2024_Roster_Offseason'!$I32='2024_Draft_team'!$Q$2:$Q$271)*('2024_Roster_Offseason'!$A32='2024_Draft_team'!$B$2:$B$271),0))</f>
        <v>24</v>
      </c>
      <c r="Q32" s="9" t="s">
        <v>34</v>
      </c>
    </row>
    <row r="33" ht="14.25" customHeight="1">
      <c r="A33" s="3" t="s">
        <v>5</v>
      </c>
      <c r="B33" s="3" t="s">
        <v>59</v>
      </c>
      <c r="C33" s="3" t="s">
        <v>120</v>
      </c>
      <c r="D33" s="3" t="s">
        <v>121</v>
      </c>
      <c r="E33" s="3" t="s">
        <v>59</v>
      </c>
      <c r="F33" s="3" t="s">
        <v>32</v>
      </c>
      <c r="G33" s="3" t="s">
        <v>103</v>
      </c>
      <c r="H33" s="3"/>
      <c r="I33" s="3" t="str">
        <f>'2024_Roster_Offseason'!$C33&amp;'2024_Roster_Offseason'!$D33</f>
        <v>AlexSingleton</v>
      </c>
      <c r="J33" s="10">
        <v>0.23</v>
      </c>
      <c r="K33" s="10">
        <v>0.03</v>
      </c>
      <c r="L33" s="3">
        <v>0.0</v>
      </c>
      <c r="M33" s="3">
        <v>28.0</v>
      </c>
      <c r="N33" s="3">
        <v>0.0</v>
      </c>
      <c r="O33" s="3" t="str">
        <f t="array" ref="O33">INDEX('2024_Transactions'!$J$2:$J$339,MATCH(1,('2024_Transactions'!$C$2:$C$339='2024_Roster_Offseason'!$I33)*('2024_Roster_Offseason'!$A33='2024_Transactions'!$B$2:$B$339),0))</f>
        <v>#N/A</v>
      </c>
      <c r="P33" s="11">
        <f t="array" ref="P33">INDEX('2024_Draft_team'!$J$2:$J$271,MATCH(1,('2024_Roster_Offseason'!$I33='2024_Draft_team'!$Q$2:$Q$271)*('2024_Roster_Offseason'!$A33='2024_Draft_team'!$B$2:$B$271),0))</f>
        <v>4</v>
      </c>
      <c r="Q33" s="12" t="s">
        <v>34</v>
      </c>
    </row>
    <row r="34" ht="14.25" customHeight="1">
      <c r="A34" s="2" t="s">
        <v>8</v>
      </c>
      <c r="B34" s="2" t="s">
        <v>29</v>
      </c>
      <c r="C34" s="2" t="s">
        <v>122</v>
      </c>
      <c r="D34" s="2" t="s">
        <v>123</v>
      </c>
      <c r="E34" s="2" t="s">
        <v>29</v>
      </c>
      <c r="F34" s="2" t="s">
        <v>32</v>
      </c>
      <c r="G34" s="2" t="s">
        <v>124</v>
      </c>
      <c r="H34" s="2"/>
      <c r="I34" s="2" t="str">
        <f>'2024_Roster_Offseason'!$C34&amp;'2024_Roster_Offseason'!$D34</f>
        <v>JalenHurts</v>
      </c>
      <c r="J34" s="7">
        <v>0.97</v>
      </c>
      <c r="K34" s="7">
        <v>0.59</v>
      </c>
      <c r="L34" s="2">
        <v>58.0</v>
      </c>
      <c r="M34" s="2">
        <v>57.13</v>
      </c>
      <c r="N34" s="2">
        <v>0.0</v>
      </c>
      <c r="O34" s="2" t="str">
        <f t="array" ref="O34">INDEX('2024_Transactions'!$J$2:$J$339,MATCH(1,('2024_Transactions'!$C$2:$C$339='2024_Roster_Offseason'!$I34)*('2024_Roster_Offseason'!$A34='2024_Transactions'!$B$2:$B$339),0))</f>
        <v>#N/A</v>
      </c>
      <c r="P34" s="8" t="str">
        <f t="array" ref="P34">INDEX('2024_Draft_team'!$J$2:$J$271,MATCH(1,('2024_Roster_Offseason'!$I34='2024_Draft_team'!$Q$2:$Q$271)*('2024_Roster_Offseason'!$A34='2024_Draft_team'!$B$2:$B$271),0))</f>
        <v>N/A</v>
      </c>
      <c r="Q34" s="9" t="s">
        <v>34</v>
      </c>
    </row>
    <row r="35" ht="14.25" customHeight="1">
      <c r="A35" s="3" t="s">
        <v>8</v>
      </c>
      <c r="B35" s="3" t="s">
        <v>29</v>
      </c>
      <c r="C35" s="3" t="s">
        <v>125</v>
      </c>
      <c r="D35" s="3" t="s">
        <v>126</v>
      </c>
      <c r="E35" s="3" t="s">
        <v>29</v>
      </c>
      <c r="F35" s="3" t="s">
        <v>32</v>
      </c>
      <c r="G35" s="3" t="s">
        <v>103</v>
      </c>
      <c r="H35" s="3"/>
      <c r="I35" s="3" t="str">
        <f>'2024_Roster_Offseason'!$C35&amp;'2024_Roster_Offseason'!$D35</f>
        <v>BoNix</v>
      </c>
      <c r="J35" s="10">
        <v>0.95</v>
      </c>
      <c r="K35" s="10">
        <v>0.5</v>
      </c>
      <c r="L35" s="3">
        <v>0.0</v>
      </c>
      <c r="M35" s="3">
        <v>43.76</v>
      </c>
      <c r="N35" s="3">
        <v>0.0</v>
      </c>
      <c r="O35" s="3" t="str">
        <f t="array" ref="O35">INDEX('2024_Transactions'!$J$2:$J$339,MATCH(1,('2024_Transactions'!$C$2:$C$339='2024_Roster_Offseason'!$I35)*('2024_Roster_Offseason'!$A35='2024_Transactions'!$B$2:$B$339),0))</f>
        <v>#N/A</v>
      </c>
      <c r="P35" s="11">
        <f t="array" ref="P35">INDEX('2024_Draft_team'!$J$2:$J$271,MATCH(1,('2024_Roster_Offseason'!$I35='2024_Draft_team'!$Q$2:$Q$271)*('2024_Roster_Offseason'!$A35='2024_Draft_team'!$B$2:$B$271),0))</f>
        <v>22</v>
      </c>
      <c r="Q35" s="15" t="s">
        <v>38</v>
      </c>
    </row>
    <row r="36" ht="14.25" customHeight="1">
      <c r="A36" s="2" t="s">
        <v>8</v>
      </c>
      <c r="B36" s="2" t="s">
        <v>39</v>
      </c>
      <c r="C36" s="2" t="s">
        <v>127</v>
      </c>
      <c r="D36" s="2" t="s">
        <v>128</v>
      </c>
      <c r="E36" s="2" t="s">
        <v>39</v>
      </c>
      <c r="F36" s="2" t="s">
        <v>32</v>
      </c>
      <c r="G36" s="2" t="s">
        <v>49</v>
      </c>
      <c r="H36" s="2"/>
      <c r="I36" s="2" t="str">
        <f>'2024_Roster_Offseason'!$C36&amp;'2024_Roster_Offseason'!$D36</f>
        <v>BreeceHall</v>
      </c>
      <c r="J36" s="7">
        <v>0.99</v>
      </c>
      <c r="K36" s="7">
        <v>0.67</v>
      </c>
      <c r="L36" s="2">
        <v>0.0</v>
      </c>
      <c r="M36" s="2">
        <v>21.94</v>
      </c>
      <c r="N36" s="2">
        <v>0.0</v>
      </c>
      <c r="O36" s="2" t="str">
        <f t="array" ref="O36">INDEX('2024_Transactions'!$J$2:$J$339,MATCH(1,('2024_Transactions'!$C$2:$C$339='2024_Roster_Offseason'!$I36)*('2024_Roster_Offseason'!$A36='2024_Transactions'!$B$2:$B$339),0))</f>
        <v>#N/A</v>
      </c>
      <c r="P36" s="8">
        <f t="array" ref="P36">INDEX('2024_Draft_team'!$J$2:$J$271,MATCH(1,('2024_Roster_Offseason'!$I36='2024_Draft_team'!$Q$2:$Q$271)*('2024_Roster_Offseason'!$A36='2024_Draft_team'!$B$2:$B$271),0))</f>
        <v>4</v>
      </c>
      <c r="Q36" s="16" t="s">
        <v>38</v>
      </c>
    </row>
    <row r="37" ht="14.25" customHeight="1">
      <c r="A37" s="3" t="s">
        <v>8</v>
      </c>
      <c r="B37" s="3" t="s">
        <v>39</v>
      </c>
      <c r="C37" s="3" t="s">
        <v>129</v>
      </c>
      <c r="D37" s="3" t="s">
        <v>130</v>
      </c>
      <c r="E37" s="3" t="s">
        <v>131</v>
      </c>
      <c r="F37" s="3" t="s">
        <v>39</v>
      </c>
      <c r="G37" s="3" t="s">
        <v>32</v>
      </c>
      <c r="H37" s="3" t="s">
        <v>82</v>
      </c>
      <c r="I37" s="3" t="str">
        <f>'2024_Roster_Offseason'!$C37&amp;'2024_Roster_Offseason'!$D37&amp;'2024_Roster_Offseason'!$E37</f>
        <v>TyroneTracyJr.</v>
      </c>
      <c r="J37" s="10">
        <v>0.95</v>
      </c>
      <c r="K37" s="10">
        <v>0.48</v>
      </c>
      <c r="L37" s="3">
        <v>0.0</v>
      </c>
      <c r="M37" s="3">
        <v>16.06</v>
      </c>
      <c r="N37" s="3">
        <v>0.0</v>
      </c>
      <c r="O37" s="3" t="str">
        <f t="array" ref="O37">INDEX('2024_Transactions'!$J$2:$J$339,MATCH(1,('2024_Transactions'!$C$2:$C$339='2024_Roster_Offseason'!$I37)*('2024_Roster_Offseason'!$A37='2024_Transactions'!$B$2:$B$339),0))</f>
        <v>#N/A</v>
      </c>
      <c r="P37" s="11">
        <f t="array" ref="P37">INDEX('2024_Draft_team'!$J$2:$J$271,MATCH(1,('2024_Roster_Offseason'!$I37='2024_Draft_team'!$Q$2:$Q$271)*('2024_Roster_Offseason'!$A37='2024_Draft_team'!$B$2:$B$271),0))</f>
        <v>25</v>
      </c>
      <c r="Q37" s="15" t="s">
        <v>38</v>
      </c>
    </row>
    <row r="38" ht="14.25" customHeight="1">
      <c r="A38" s="2" t="s">
        <v>8</v>
      </c>
      <c r="B38" s="2" t="s">
        <v>46</v>
      </c>
      <c r="C38" s="2" t="s">
        <v>35</v>
      </c>
      <c r="D38" s="2" t="s">
        <v>132</v>
      </c>
      <c r="E38" s="2" t="s">
        <v>46</v>
      </c>
      <c r="F38" s="2" t="s">
        <v>32</v>
      </c>
      <c r="G38" s="2" t="s">
        <v>76</v>
      </c>
      <c r="H38" s="2"/>
      <c r="I38" s="2" t="str">
        <f>'2024_Roster_Offseason'!$C38&amp;'2024_Roster_Offseason'!$D38</f>
        <v>BrockBowers</v>
      </c>
      <c r="J38" s="7">
        <v>0.99</v>
      </c>
      <c r="K38" s="7">
        <v>0.94</v>
      </c>
      <c r="L38" s="2">
        <v>0.0</v>
      </c>
      <c r="M38" s="2">
        <v>23.53</v>
      </c>
      <c r="N38" s="2">
        <v>0.0</v>
      </c>
      <c r="O38" s="2" t="str">
        <f t="array" ref="O38">INDEX('2024_Transactions'!$J$2:$J$339,MATCH(1,('2024_Transactions'!$C$2:$C$339='2024_Roster_Offseason'!$I38)*('2024_Roster_Offseason'!$A38='2024_Transactions'!$B$2:$B$339),0))</f>
        <v>#N/A</v>
      </c>
      <c r="P38" s="8">
        <f t="array" ref="P38">INDEX('2024_Draft_team'!$J$2:$J$271,MATCH(1,('2024_Roster_Offseason'!$I38='2024_Draft_team'!$Q$2:$Q$271)*('2024_Roster_Offseason'!$A38='2024_Draft_team'!$B$2:$B$271),0))</f>
        <v>23</v>
      </c>
      <c r="Q38" s="16" t="s">
        <v>38</v>
      </c>
    </row>
    <row r="39" ht="14.25" customHeight="1">
      <c r="A39" s="3" t="s">
        <v>8</v>
      </c>
      <c r="B39" s="3" t="s">
        <v>46</v>
      </c>
      <c r="C39" s="3" t="s">
        <v>133</v>
      </c>
      <c r="D39" s="3" t="s">
        <v>134</v>
      </c>
      <c r="E39" s="3" t="s">
        <v>46</v>
      </c>
      <c r="F39" s="3" t="s">
        <v>32</v>
      </c>
      <c r="G39" s="3" t="s">
        <v>124</v>
      </c>
      <c r="H39" s="3"/>
      <c r="I39" s="3" t="str">
        <f>'2024_Roster_Offseason'!$C39&amp;'2024_Roster_Offseason'!$D39</f>
        <v>A.J.Brown</v>
      </c>
      <c r="J39" s="10">
        <v>1.0</v>
      </c>
      <c r="K39" s="10">
        <v>0.89</v>
      </c>
      <c r="L39" s="3">
        <v>23.0</v>
      </c>
      <c r="M39" s="3">
        <v>31.38</v>
      </c>
      <c r="N39" s="3">
        <v>0.0</v>
      </c>
      <c r="O39" s="3" t="str">
        <f t="array" ref="O39">INDEX('2024_Transactions'!$J$2:$J$339,MATCH(1,('2024_Transactions'!$C$2:$C$339='2024_Roster_Offseason'!$I39)*('2024_Roster_Offseason'!$A39='2024_Transactions'!$B$2:$B$339),0))</f>
        <v>#N/A</v>
      </c>
      <c r="P39" s="11" t="str">
        <f t="array" ref="P39">INDEX('2024_Draft_team'!$J$2:$J$271,MATCH(1,('2024_Roster_Offseason'!$I39='2024_Draft_team'!$Q$2:$Q$271)*('2024_Roster_Offseason'!$A39='2024_Draft_team'!$B$2:$B$271),0))</f>
        <v>N/A</v>
      </c>
      <c r="Q39" s="15" t="s">
        <v>34</v>
      </c>
    </row>
    <row r="40" ht="14.25" customHeight="1">
      <c r="A40" s="2" t="s">
        <v>8</v>
      </c>
      <c r="B40" s="2" t="s">
        <v>46</v>
      </c>
      <c r="C40" s="2" t="s">
        <v>92</v>
      </c>
      <c r="D40" s="2" t="s">
        <v>135</v>
      </c>
      <c r="E40" s="2" t="s">
        <v>46</v>
      </c>
      <c r="F40" s="2" t="s">
        <v>32</v>
      </c>
      <c r="G40" s="2" t="s">
        <v>136</v>
      </c>
      <c r="H40" s="2"/>
      <c r="I40" s="2" t="str">
        <f>'2024_Roster_Offseason'!$C40&amp;'2024_Roster_Offseason'!$D40</f>
        <v>CooperKupp</v>
      </c>
      <c r="J40" s="7">
        <v>0.99</v>
      </c>
      <c r="K40" s="7">
        <v>0.79</v>
      </c>
      <c r="L40" s="2">
        <v>0.0</v>
      </c>
      <c r="M40" s="2">
        <v>25.25</v>
      </c>
      <c r="N40" s="2">
        <v>0.0</v>
      </c>
      <c r="O40" s="2" t="str">
        <f t="array" ref="O40">INDEX('2024_Transactions'!$J$2:$J$339,MATCH(1,('2024_Transactions'!$C$2:$C$339='2024_Roster_Offseason'!$I40)*('2024_Roster_Offseason'!$A40='2024_Transactions'!$B$2:$B$339),0))</f>
        <v>#N/A</v>
      </c>
      <c r="P40" s="8">
        <f t="array" ref="P40">INDEX('2024_Draft_team'!$J$2:$J$271,MATCH(1,('2024_Roster_Offseason'!$I40='2024_Draft_team'!$Q$2:$Q$271)*('2024_Roster_Offseason'!$A40='2024_Draft_team'!$B$2:$B$271),0))</f>
        <v>2</v>
      </c>
      <c r="Q40" s="16" t="s">
        <v>34</v>
      </c>
    </row>
    <row r="41" ht="14.25" customHeight="1">
      <c r="A41" s="3" t="s">
        <v>8</v>
      </c>
      <c r="B41" s="3" t="s">
        <v>55</v>
      </c>
      <c r="C41" s="3" t="s">
        <v>137</v>
      </c>
      <c r="D41" s="3" t="s">
        <v>138</v>
      </c>
      <c r="E41" s="3" t="s">
        <v>55</v>
      </c>
      <c r="F41" s="3" t="s">
        <v>32</v>
      </c>
      <c r="G41" s="3" t="s">
        <v>63</v>
      </c>
      <c r="H41" s="3"/>
      <c r="I41" s="3" t="str">
        <f>'2024_Roster_Offseason'!$C41&amp;'2024_Roster_Offseason'!$D41</f>
        <v>YounghoeKoo</v>
      </c>
      <c r="J41" s="10">
        <v>0.57</v>
      </c>
      <c r="K41" s="10">
        <v>0.35</v>
      </c>
      <c r="L41" s="3">
        <v>0.0</v>
      </c>
      <c r="M41" s="3">
        <v>16.21</v>
      </c>
      <c r="N41" s="3">
        <v>0.0</v>
      </c>
      <c r="O41" s="3" t="str">
        <f t="array" ref="O41">INDEX('2024_Transactions'!$J$2:$J$339,MATCH(1,('2024_Transactions'!$C$2:$C$339='2024_Roster_Offseason'!$I41)*('2024_Roster_Offseason'!$A41='2024_Transactions'!$B$2:$B$339),0))</f>
        <v>Signed</v>
      </c>
      <c r="P41" s="13">
        <v>15.0</v>
      </c>
      <c r="Q41" s="15" t="s">
        <v>34</v>
      </c>
    </row>
    <row r="42" ht="14.25" customHeight="1">
      <c r="A42" s="2" t="s">
        <v>8</v>
      </c>
      <c r="B42" s="2" t="s">
        <v>59</v>
      </c>
      <c r="C42" s="2" t="s">
        <v>139</v>
      </c>
      <c r="D42" s="2" t="s">
        <v>140</v>
      </c>
      <c r="E42" s="2" t="s">
        <v>59</v>
      </c>
      <c r="F42" s="2" t="s">
        <v>32</v>
      </c>
      <c r="G42" s="2" t="s">
        <v>141</v>
      </c>
      <c r="H42" s="2"/>
      <c r="I42" s="2" t="str">
        <f>'2024_Roster_Offseason'!$C42&amp;'2024_Roster_Offseason'!$D42</f>
        <v>JackCampbell</v>
      </c>
      <c r="J42" s="7">
        <v>0.65</v>
      </c>
      <c r="K42" s="7">
        <v>0.54</v>
      </c>
      <c r="L42" s="2">
        <v>0.0</v>
      </c>
      <c r="M42" s="2">
        <v>19.71</v>
      </c>
      <c r="N42" s="2">
        <v>0.0</v>
      </c>
      <c r="O42" s="2" t="str">
        <f t="array" ref="O42">INDEX('2024_Transactions'!$J$2:$J$339,MATCH(1,('2024_Transactions'!$C$2:$C$339='2024_Roster_Offseason'!$I42)*('2024_Roster_Offseason'!$A42='2024_Transactions'!$B$2:$B$339),0))</f>
        <v>#N/A</v>
      </c>
      <c r="P42" s="8">
        <f t="array" ref="P42">INDEX('2024_Draft_team'!$J$2:$J$271,MATCH(1,('2024_Roster_Offseason'!$I42='2024_Draft_team'!$Q$2:$Q$271)*('2024_Roster_Offseason'!$A42='2024_Draft_team'!$B$2:$B$271),0))</f>
        <v>10</v>
      </c>
      <c r="Q42" s="16" t="s">
        <v>38</v>
      </c>
    </row>
    <row r="43" ht="14.25" customHeight="1">
      <c r="A43" s="3" t="s">
        <v>8</v>
      </c>
      <c r="B43" s="3" t="s">
        <v>59</v>
      </c>
      <c r="C43" s="3" t="s">
        <v>142</v>
      </c>
      <c r="D43" s="3" t="s">
        <v>143</v>
      </c>
      <c r="E43" s="3" t="s">
        <v>59</v>
      </c>
      <c r="F43" s="3" t="s">
        <v>32</v>
      </c>
      <c r="G43" s="3" t="s">
        <v>79</v>
      </c>
      <c r="H43" s="3"/>
      <c r="I43" s="3" t="str">
        <f>'2024_Roster_Offseason'!$C43&amp;'2024_Roster_Offseason'!$D43</f>
        <v>JonathanGreenard</v>
      </c>
      <c r="J43" s="10">
        <v>0.81</v>
      </c>
      <c r="K43" s="10">
        <v>0.71</v>
      </c>
      <c r="L43" s="3">
        <v>0.0</v>
      </c>
      <c r="M43" s="3">
        <v>18.47</v>
      </c>
      <c r="N43" s="3">
        <v>0.0</v>
      </c>
      <c r="O43" s="3" t="str">
        <f t="array" ref="O43">INDEX('2024_Transactions'!$J$2:$J$339,MATCH(1,('2024_Transactions'!$C$2:$C$339='2024_Roster_Offseason'!$I43)*('2024_Roster_Offseason'!$A43='2024_Transactions'!$B$2:$B$339),0))</f>
        <v>Signed</v>
      </c>
      <c r="P43" s="13">
        <f t="array" ref="P43">IFERROR(INDEX('2024_Draft_team'!$J$2:$J$271,MATCH(1,('2024_Roster_Offseason'!$I43='2024_Draft_team'!$Q$2:$Q$271)*('2024_Roster_Offseason'!$A43='2024_Draft_team'!$B$2:$B$271),0)),15)</f>
        <v>15</v>
      </c>
      <c r="Q43" s="15" t="s">
        <v>34</v>
      </c>
    </row>
    <row r="44" ht="14.25" customHeight="1">
      <c r="A44" s="2" t="s">
        <v>8</v>
      </c>
      <c r="B44" s="2" t="s">
        <v>59</v>
      </c>
      <c r="C44" s="2" t="s">
        <v>144</v>
      </c>
      <c r="D44" s="2" t="s">
        <v>145</v>
      </c>
      <c r="E44" s="2" t="s">
        <v>59</v>
      </c>
      <c r="F44" s="2" t="s">
        <v>32</v>
      </c>
      <c r="G44" s="2" t="s">
        <v>54</v>
      </c>
      <c r="H44" s="2"/>
      <c r="I44" s="2" t="str">
        <f>'2024_Roster_Offseason'!$C44&amp;'2024_Roster_Offseason'!$D44</f>
        <v>DaiyanHenley</v>
      </c>
      <c r="J44" s="7">
        <v>0.63</v>
      </c>
      <c r="K44" s="7">
        <v>0.51</v>
      </c>
      <c r="L44" s="2">
        <v>0.0</v>
      </c>
      <c r="M44" s="2">
        <v>23.06</v>
      </c>
      <c r="N44" s="2">
        <v>0.0</v>
      </c>
      <c r="O44" s="2" t="str">
        <f t="array" ref="O44">INDEX('2024_Transactions'!$J$2:$J$339,MATCH(1,('2024_Transactions'!$C$2:$C$339='2024_Roster_Offseason'!$I44)*('2024_Roster_Offseason'!$A44='2024_Transactions'!$B$2:$B$339),0))</f>
        <v>#N/A</v>
      </c>
      <c r="P44" s="8">
        <f t="array" ref="P44">INDEX('2024_Draft_team'!$J$2:$J$271,MATCH(1,('2024_Roster_Offseason'!$I44='2024_Draft_team'!$Q$2:$Q$271)*('2024_Roster_Offseason'!$A44='2024_Draft_team'!$B$2:$B$271),0))</f>
        <v>20</v>
      </c>
      <c r="Q44" s="16" t="s">
        <v>38</v>
      </c>
    </row>
    <row r="45" ht="14.25" customHeight="1">
      <c r="A45" s="3" t="s">
        <v>8</v>
      </c>
      <c r="B45" s="3" t="s">
        <v>59</v>
      </c>
      <c r="C45" s="3" t="s">
        <v>146</v>
      </c>
      <c r="D45" s="3" t="s">
        <v>147</v>
      </c>
      <c r="E45" s="3" t="s">
        <v>59</v>
      </c>
      <c r="F45" s="3" t="s">
        <v>32</v>
      </c>
      <c r="G45" s="3" t="s">
        <v>148</v>
      </c>
      <c r="H45" s="3"/>
      <c r="I45" s="3" t="str">
        <f>'2024_Roster_Offseason'!$C45&amp;'2024_Roster_Offseason'!$D45</f>
        <v>FoyeOluokun</v>
      </c>
      <c r="J45" s="10">
        <v>0.88</v>
      </c>
      <c r="K45" s="10">
        <v>0.72</v>
      </c>
      <c r="L45" s="3">
        <v>0.0</v>
      </c>
      <c r="M45" s="3">
        <v>21.46</v>
      </c>
      <c r="N45" s="3">
        <v>0.0</v>
      </c>
      <c r="O45" s="3" t="str">
        <f t="array" ref="O45">INDEX('2024_Transactions'!$J$2:$J$339,MATCH(1,('2024_Transactions'!$C$2:$C$339='2024_Roster_Offseason'!$I45)*('2024_Roster_Offseason'!$A45='2024_Transactions'!$B$2:$B$339),0))</f>
        <v>#N/A</v>
      </c>
      <c r="P45" s="11" t="str">
        <f t="array" ref="P45">INDEX('2024_Draft_team'!$J$2:$J$271,MATCH(1,('2024_Roster_Offseason'!$I45='2024_Draft_team'!$Q$2:$Q$271)*('2024_Roster_Offseason'!$A45='2024_Draft_team'!$B$2:$B$271),0))</f>
        <v>N/A</v>
      </c>
      <c r="Q45" s="15" t="s">
        <v>34</v>
      </c>
    </row>
    <row r="46" ht="14.25" customHeight="1">
      <c r="A46" s="2" t="s">
        <v>8</v>
      </c>
      <c r="B46" s="2" t="s">
        <v>59</v>
      </c>
      <c r="C46" s="2" t="s">
        <v>149</v>
      </c>
      <c r="D46" s="2" t="s">
        <v>150</v>
      </c>
      <c r="E46" s="2" t="s">
        <v>59</v>
      </c>
      <c r="F46" s="2" t="s">
        <v>32</v>
      </c>
      <c r="G46" s="2" t="s">
        <v>87</v>
      </c>
      <c r="H46" s="2"/>
      <c r="I46" s="2" t="str">
        <f>'2024_Roster_Offseason'!$C46&amp;'2024_Roster_Offseason'!$D46</f>
        <v>MicahParsons</v>
      </c>
      <c r="J46" s="7">
        <v>0.86</v>
      </c>
      <c r="K46" s="7">
        <v>0.74</v>
      </c>
      <c r="L46" s="2">
        <v>0.0</v>
      </c>
      <c r="M46" s="2">
        <v>19.31</v>
      </c>
      <c r="N46" s="2">
        <v>0.0</v>
      </c>
      <c r="O46" s="2" t="str">
        <f t="array" ref="O46">INDEX('2024_Transactions'!$J$2:$J$339,MATCH(1,('2024_Transactions'!$C$2:$C$339='2024_Roster_Offseason'!$I46)*('2024_Roster_Offseason'!$A46='2024_Transactions'!$B$2:$B$339),0))</f>
        <v>#N/A</v>
      </c>
      <c r="P46" s="8">
        <f t="array" ref="P46">INDEX('2024_Draft_team'!$J$2:$J$271,MATCH(1,('2024_Roster_Offseason'!$I46='2024_Draft_team'!$Q$2:$Q$271)*('2024_Roster_Offseason'!$A46='2024_Draft_team'!$B$2:$B$271),0))</f>
        <v>1</v>
      </c>
      <c r="Q46" s="16" t="s">
        <v>34</v>
      </c>
    </row>
    <row r="47" ht="14.25" customHeight="1">
      <c r="A47" s="3" t="s">
        <v>8</v>
      </c>
      <c r="B47" s="3" t="s">
        <v>59</v>
      </c>
      <c r="C47" s="3" t="s">
        <v>113</v>
      </c>
      <c r="D47" s="3" t="s">
        <v>151</v>
      </c>
      <c r="E47" s="3" t="s">
        <v>59</v>
      </c>
      <c r="F47" s="3" t="s">
        <v>32</v>
      </c>
      <c r="G47" s="3" t="s">
        <v>136</v>
      </c>
      <c r="H47" s="3"/>
      <c r="I47" s="3" t="str">
        <f>'2024_Roster_Offseason'!$C47&amp;'2024_Roster_Offseason'!$D47</f>
        <v>ChristianRozeboom</v>
      </c>
      <c r="J47" s="10">
        <v>0.31</v>
      </c>
      <c r="K47" s="10">
        <v>0.23</v>
      </c>
      <c r="L47" s="3">
        <v>0.0</v>
      </c>
      <c r="M47" s="3">
        <v>20.76</v>
      </c>
      <c r="N47" s="3">
        <v>0.0</v>
      </c>
      <c r="O47" s="3" t="str">
        <f t="array" ref="O47">INDEX('2024_Transactions'!$J$2:$J$339,MATCH(1,('2024_Transactions'!$C$2:$C$339='2024_Roster_Offseason'!$I47)*('2024_Roster_Offseason'!$A47='2024_Transactions'!$B$2:$B$339),0))</f>
        <v>Signed</v>
      </c>
      <c r="P47" s="13">
        <f t="array" ref="P47">IFERROR(INDEX('2024_Draft_team'!$J$2:$J$271,MATCH(1,('2024_Roster_Offseason'!$I47='2024_Draft_team'!$Q$2:$Q$271)*('2024_Roster_Offseason'!$A47='2024_Draft_team'!$B$2:$B$271),0)),15)</f>
        <v>15</v>
      </c>
      <c r="Q47" s="15" t="s">
        <v>34</v>
      </c>
    </row>
    <row r="48" ht="14.25" customHeight="1">
      <c r="A48" s="2" t="s">
        <v>8</v>
      </c>
      <c r="B48" s="2" t="s">
        <v>59</v>
      </c>
      <c r="C48" s="2" t="s">
        <v>152</v>
      </c>
      <c r="D48" s="2" t="s">
        <v>153</v>
      </c>
      <c r="E48" s="2" t="s">
        <v>59</v>
      </c>
      <c r="F48" s="2" t="s">
        <v>32</v>
      </c>
      <c r="G48" s="2" t="s">
        <v>45</v>
      </c>
      <c r="H48" s="2"/>
      <c r="I48" s="2" t="str">
        <f>'2024_Roster_Offseason'!$C48&amp;'2024_Roster_Offseason'!$D48</f>
        <v>QuayWalker</v>
      </c>
      <c r="J48" s="7">
        <v>0.71</v>
      </c>
      <c r="K48" s="7">
        <v>0.39</v>
      </c>
      <c r="L48" s="2">
        <v>0.0</v>
      </c>
      <c r="M48" s="2">
        <v>23.77</v>
      </c>
      <c r="N48" s="2">
        <v>0.0</v>
      </c>
      <c r="O48" s="2" t="str">
        <f t="array" ref="O48">INDEX('2024_Transactions'!$J$2:$J$339,MATCH(1,('2024_Transactions'!$C$2:$C$339='2024_Roster_Offseason'!$I48)*('2024_Roster_Offseason'!$A48='2024_Transactions'!$B$2:$B$339),0))</f>
        <v>#N/A</v>
      </c>
      <c r="P48" s="8">
        <f t="array" ref="P48">INDEX('2024_Draft_team'!$J$2:$J$271,MATCH(1,('2024_Roster_Offseason'!$I48='2024_Draft_team'!$Q$2:$Q$271)*('2024_Roster_Offseason'!$A48='2024_Draft_team'!$B$2:$B$271),0))</f>
        <v>2</v>
      </c>
      <c r="Q48" s="16" t="s">
        <v>34</v>
      </c>
    </row>
    <row r="49" ht="14.25" customHeight="1">
      <c r="A49" s="3" t="s">
        <v>8</v>
      </c>
      <c r="B49" s="3" t="s">
        <v>39</v>
      </c>
      <c r="C49" s="3" t="s">
        <v>154</v>
      </c>
      <c r="D49" s="3" t="s">
        <v>155</v>
      </c>
      <c r="E49" s="3" t="s">
        <v>39</v>
      </c>
      <c r="F49" s="3" t="s">
        <v>32</v>
      </c>
      <c r="G49" s="3" t="s">
        <v>37</v>
      </c>
      <c r="H49" s="3"/>
      <c r="I49" s="3" t="str">
        <f>'2024_Roster_Offseason'!$C49&amp;'2024_Roster_Offseason'!$D49</f>
        <v>IsaacGuerendo</v>
      </c>
      <c r="J49" s="10">
        <v>0.93</v>
      </c>
      <c r="K49" s="10">
        <v>0.42</v>
      </c>
      <c r="L49" s="3">
        <v>0.0</v>
      </c>
      <c r="M49" s="3">
        <v>8.75</v>
      </c>
      <c r="N49" s="3">
        <v>0.0</v>
      </c>
      <c r="O49" s="3" t="str">
        <f t="array" ref="O49">INDEX('2024_Transactions'!$J$2:$J$339,MATCH(1,('2024_Transactions'!$C$2:$C$339='2024_Roster_Offseason'!$I49)*('2024_Roster_Offseason'!$A49='2024_Transactions'!$B$2:$B$339),0))</f>
        <v>Signed</v>
      </c>
      <c r="P49" s="13">
        <f t="array" ref="P49">IFERROR(INDEX('2024_Draft_team'!$J$2:$J$271,MATCH(1,('2024_Roster_Offseason'!$I49='2024_Draft_team'!$Q$2:$Q$271)*('2024_Roster_Offseason'!$A49='2024_Draft_team'!$B$2:$B$271),0)),15)</f>
        <v>15</v>
      </c>
      <c r="Q49" s="15" t="s">
        <v>34</v>
      </c>
    </row>
    <row r="50" ht="14.25" customHeight="1">
      <c r="A50" s="2" t="s">
        <v>8</v>
      </c>
      <c r="B50" s="2" t="s">
        <v>39</v>
      </c>
      <c r="C50" s="2" t="s">
        <v>156</v>
      </c>
      <c r="D50" s="2" t="s">
        <v>157</v>
      </c>
      <c r="E50" s="2" t="s">
        <v>39</v>
      </c>
      <c r="F50" s="2" t="s">
        <v>32</v>
      </c>
      <c r="G50" s="2" t="s">
        <v>90</v>
      </c>
      <c r="H50" s="2"/>
      <c r="I50" s="2" t="str">
        <f>'2024_Roster_Offseason'!$C50&amp;'2024_Roster_Offseason'!$D50</f>
        <v>IsiahPacheco</v>
      </c>
      <c r="J50" s="7">
        <v>0.96</v>
      </c>
      <c r="K50" s="7">
        <v>0.46</v>
      </c>
      <c r="L50" s="2">
        <v>1.0</v>
      </c>
      <c r="M50" s="2">
        <v>13.43</v>
      </c>
      <c r="N50" s="2">
        <v>0.0</v>
      </c>
      <c r="O50" s="2" t="str">
        <f t="array" ref="O50">INDEX('2024_Transactions'!$J$2:$J$339,MATCH(1,('2024_Transactions'!$C$2:$C$339='2024_Roster_Offseason'!$I50)*('2024_Roster_Offseason'!$A50='2024_Transactions'!$B$2:$B$339),0))</f>
        <v>#N/A</v>
      </c>
      <c r="P50" s="8">
        <f t="array" ref="P50">INDEX('2024_Draft_team'!$J$2:$J$271,MATCH(1,('2024_Roster_Offseason'!$I50='2024_Draft_team'!$Q$2:$Q$271)*('2024_Roster_Offseason'!$A50='2024_Draft_team'!$B$2:$B$271),0))</f>
        <v>10</v>
      </c>
      <c r="Q50" s="16" t="s">
        <v>34</v>
      </c>
    </row>
    <row r="51" ht="14.25" customHeight="1">
      <c r="A51" s="3" t="s">
        <v>8</v>
      </c>
      <c r="B51" s="3" t="s">
        <v>39</v>
      </c>
      <c r="C51" s="3" t="s">
        <v>158</v>
      </c>
      <c r="D51" s="3" t="s">
        <v>159</v>
      </c>
      <c r="E51" s="3" t="s">
        <v>131</v>
      </c>
      <c r="F51" s="3" t="s">
        <v>39</v>
      </c>
      <c r="G51" s="3" t="s">
        <v>32</v>
      </c>
      <c r="H51" s="3" t="s">
        <v>98</v>
      </c>
      <c r="I51" s="3" t="str">
        <f>'2024_Roster_Offseason'!$C51&amp;'2024_Roster_Offseason'!$D51&amp;'2024_Roster_Offseason'!$E51</f>
        <v>BrianRobinsonJr.</v>
      </c>
      <c r="J51" s="10">
        <v>0.99</v>
      </c>
      <c r="K51" s="10">
        <v>0.6</v>
      </c>
      <c r="L51" s="3">
        <v>0.0</v>
      </c>
      <c r="M51" s="3">
        <v>22.07</v>
      </c>
      <c r="N51" s="3">
        <v>0.0</v>
      </c>
      <c r="O51" s="3" t="str">
        <f t="array" ref="O51">INDEX('2024_Transactions'!$J$2:$J$339,MATCH(1,('2024_Transactions'!$C$2:$C$339='2024_Roster_Offseason'!$I51)*('2024_Roster_Offseason'!$A51='2024_Transactions'!$B$2:$B$339),0))</f>
        <v>#N/A</v>
      </c>
      <c r="P51" s="11">
        <f t="array" ref="P51">INDEX('2024_Draft_team'!$J$2:$J$271,MATCH(1,('2024_Roster_Offseason'!$I51='2024_Draft_team'!$Q$2:$Q$271)*('2024_Roster_Offseason'!$A51='2024_Draft_team'!$B$2:$B$271),0))</f>
        <v>14</v>
      </c>
      <c r="Q51" s="15" t="s">
        <v>34</v>
      </c>
    </row>
    <row r="52" ht="14.25" customHeight="1">
      <c r="A52" s="2" t="s">
        <v>8</v>
      </c>
      <c r="B52" s="2" t="s">
        <v>39</v>
      </c>
      <c r="C52" s="2" t="s">
        <v>160</v>
      </c>
      <c r="D52" s="2" t="s">
        <v>161</v>
      </c>
      <c r="E52" s="2" t="s">
        <v>39</v>
      </c>
      <c r="F52" s="2" t="s">
        <v>32</v>
      </c>
      <c r="G52" s="2" t="s">
        <v>37</v>
      </c>
      <c r="H52" s="2"/>
      <c r="I52" s="2" t="str">
        <f>'2024_Roster_Offseason'!$C52&amp;'2024_Roster_Offseason'!$D52</f>
        <v>PatrickTaylor</v>
      </c>
      <c r="J52" s="7">
        <v>0.44</v>
      </c>
      <c r="K52" s="7">
        <v>0.06</v>
      </c>
      <c r="L52" s="2">
        <v>0.0</v>
      </c>
      <c r="M52" s="2">
        <v>3.46</v>
      </c>
      <c r="N52" s="2">
        <v>0.0</v>
      </c>
      <c r="O52" s="2" t="str">
        <f t="array" ref="O52">INDEX('2024_Transactions'!$J$2:$J$339,MATCH(1,('2024_Transactions'!$C$2:$C$339='2024_Roster_Offseason'!$I52)*('2024_Roster_Offseason'!$A52='2024_Transactions'!$B$2:$B$339),0))</f>
        <v>Signed</v>
      </c>
      <c r="P52" s="14">
        <f t="array" ref="P52">IFERROR(INDEX('2024_Draft_team'!$J$2:$J$271,MATCH(1,('2024_Roster_Offseason'!$I52='2024_Draft_team'!$Q$2:$Q$271)*('2024_Roster_Offseason'!$A52='2024_Draft_team'!$B$2:$B$271),0)),15)</f>
        <v>15</v>
      </c>
      <c r="Q52" s="16" t="s">
        <v>34</v>
      </c>
    </row>
    <row r="53" ht="14.25" customHeight="1">
      <c r="A53" s="3" t="s">
        <v>8</v>
      </c>
      <c r="B53" s="3" t="s">
        <v>46</v>
      </c>
      <c r="C53" s="3" t="s">
        <v>162</v>
      </c>
      <c r="D53" s="3" t="s">
        <v>163</v>
      </c>
      <c r="E53" s="3" t="s">
        <v>46</v>
      </c>
      <c r="F53" s="3" t="s">
        <v>32</v>
      </c>
      <c r="G53" s="3" t="s">
        <v>93</v>
      </c>
      <c r="H53" s="3"/>
      <c r="I53" s="3" t="str">
        <f>'2024_Roster_Offseason'!$C53&amp;'2024_Roster_Offseason'!$D53</f>
        <v>DaltonKincaid</v>
      </c>
      <c r="J53" s="10">
        <v>0.76</v>
      </c>
      <c r="K53" s="10">
        <v>0.29</v>
      </c>
      <c r="L53" s="3">
        <v>0.0</v>
      </c>
      <c r="M53" s="3">
        <v>16.15</v>
      </c>
      <c r="N53" s="3">
        <v>0.0</v>
      </c>
      <c r="O53" s="3" t="str">
        <f t="array" ref="O53">INDEX('2024_Transactions'!$J$2:$J$339,MATCH(1,('2024_Transactions'!$C$2:$C$339='2024_Roster_Offseason'!$I53)*('2024_Roster_Offseason'!$A53='2024_Transactions'!$B$2:$B$339),0))</f>
        <v>#N/A</v>
      </c>
      <c r="P53" s="11">
        <f t="array" ref="P53">INDEX('2024_Draft_team'!$J$2:$J$271,MATCH(1,('2024_Roster_Offseason'!$I53='2024_Draft_team'!$Q$2:$Q$271)*('2024_Roster_Offseason'!$A53='2024_Draft_team'!$B$2:$B$271),0))</f>
        <v>16</v>
      </c>
      <c r="Q53" s="15" t="s">
        <v>34</v>
      </c>
    </row>
    <row r="54" ht="14.25" customHeight="1">
      <c r="A54" s="2" t="s">
        <v>8</v>
      </c>
      <c r="B54" s="2" t="s">
        <v>46</v>
      </c>
      <c r="C54" s="2" t="s">
        <v>164</v>
      </c>
      <c r="D54" s="2" t="s">
        <v>165</v>
      </c>
      <c r="E54" s="2" t="s">
        <v>46</v>
      </c>
      <c r="F54" s="2" t="s">
        <v>32</v>
      </c>
      <c r="G54" s="2" t="s">
        <v>93</v>
      </c>
      <c r="H54" s="2"/>
      <c r="I54" s="2" t="str">
        <f>'2024_Roster_Offseason'!$C54&amp;'2024_Roster_Offseason'!$D54</f>
        <v>KhalilShakir</v>
      </c>
      <c r="J54" s="7">
        <v>0.91</v>
      </c>
      <c r="K54" s="7">
        <v>0.5</v>
      </c>
      <c r="L54" s="2">
        <v>0.0</v>
      </c>
      <c r="M54" s="2">
        <v>23.93</v>
      </c>
      <c r="N54" s="2">
        <v>0.0</v>
      </c>
      <c r="O54" s="2" t="str">
        <f t="array" ref="O54">INDEX('2024_Transactions'!$J$2:$J$339,MATCH(1,('2024_Transactions'!$C$2:$C$339='2024_Roster_Offseason'!$I54)*('2024_Roster_Offseason'!$A54='2024_Transactions'!$B$2:$B$339),0))</f>
        <v>#N/A</v>
      </c>
      <c r="P54" s="8">
        <f t="array" ref="P54">INDEX('2024_Draft_team'!$J$2:$J$271,MATCH(1,('2024_Roster_Offseason'!$I54='2024_Draft_team'!$Q$2:$Q$271)*('2024_Roster_Offseason'!$A54='2024_Draft_team'!$B$2:$B$271),0))</f>
        <v>27</v>
      </c>
      <c r="Q54" s="16" t="s">
        <v>38</v>
      </c>
    </row>
    <row r="55" ht="14.25" customHeight="1">
      <c r="A55" s="3" t="s">
        <v>8</v>
      </c>
      <c r="B55" s="3" t="s">
        <v>59</v>
      </c>
      <c r="C55" s="3" t="s">
        <v>166</v>
      </c>
      <c r="D55" s="3" t="s">
        <v>167</v>
      </c>
      <c r="E55" s="3" t="s">
        <v>59</v>
      </c>
      <c r="F55" s="3" t="s">
        <v>32</v>
      </c>
      <c r="G55" s="3" t="s">
        <v>103</v>
      </c>
      <c r="H55" s="3"/>
      <c r="I55" s="3" t="str">
        <f>'2024_Roster_Offseason'!$C55&amp;'2024_Roster_Offseason'!$D55</f>
        <v>CodyBarton</v>
      </c>
      <c r="J55" s="10">
        <v>0.23</v>
      </c>
      <c r="K55" s="10">
        <v>0.12</v>
      </c>
      <c r="L55" s="3">
        <v>0.0</v>
      </c>
      <c r="M55" s="3">
        <v>17.41</v>
      </c>
      <c r="N55" s="3">
        <v>0.0</v>
      </c>
      <c r="O55" s="3" t="str">
        <f t="array" ref="O55">INDEX('2024_Transactions'!$J$2:$J$339,MATCH(1,('2024_Transactions'!$C$2:$C$339='2024_Roster_Offseason'!$I55)*('2024_Roster_Offseason'!$A55='2024_Transactions'!$B$2:$B$339),0))</f>
        <v>#N/A</v>
      </c>
      <c r="P55" s="11">
        <f t="array" ref="P55">INDEX('2024_Draft_team'!$J$2:$J$271,MATCH(1,('2024_Roster_Offseason'!$I55='2024_Draft_team'!$Q$2:$Q$271)*('2024_Roster_Offseason'!$A55='2024_Draft_team'!$B$2:$B$271),0))</f>
        <v>12</v>
      </c>
      <c r="Q55" s="15" t="s">
        <v>34</v>
      </c>
    </row>
    <row r="56" ht="14.25" customHeight="1">
      <c r="A56" s="2" t="s">
        <v>8</v>
      </c>
      <c r="B56" s="2" t="s">
        <v>59</v>
      </c>
      <c r="C56" s="2" t="s">
        <v>168</v>
      </c>
      <c r="D56" s="2" t="s">
        <v>169</v>
      </c>
      <c r="E56" s="2" t="s">
        <v>59</v>
      </c>
      <c r="F56" s="2" t="s">
        <v>32</v>
      </c>
      <c r="G56" s="2" t="s">
        <v>170</v>
      </c>
      <c r="H56" s="2"/>
      <c r="I56" s="2" t="str">
        <f>'2024_Roster_Offseason'!$C56&amp;'2024_Roster_Offseason'!$D56</f>
        <v>DeShonElliott</v>
      </c>
      <c r="J56" s="7">
        <v>0.49</v>
      </c>
      <c r="K56" s="7">
        <v>0.27</v>
      </c>
      <c r="L56" s="2">
        <v>0.0</v>
      </c>
      <c r="M56" s="2">
        <v>21.07</v>
      </c>
      <c r="N56" s="2">
        <v>0.0</v>
      </c>
      <c r="O56" s="2" t="str">
        <f t="array" ref="O56">INDEX('2024_Transactions'!$J$2:$J$339,MATCH(1,('2024_Transactions'!$C$2:$C$339='2024_Roster_Offseason'!$I56)*('2024_Roster_Offseason'!$A56='2024_Transactions'!$B$2:$B$339),0))</f>
        <v>Signed</v>
      </c>
      <c r="P56" s="14">
        <f t="array" ref="P56">IFERROR(INDEX('2024_Draft_team'!$J$2:$J$271,MATCH(1,('2024_Roster_Offseason'!$I56='2024_Draft_team'!$Q$2:$Q$271)*('2024_Roster_Offseason'!$A56='2024_Draft_team'!$B$2:$B$271),0)),15)</f>
        <v>15</v>
      </c>
      <c r="Q56" s="16" t="s">
        <v>34</v>
      </c>
    </row>
    <row r="57" ht="14.25" customHeight="1">
      <c r="A57" s="3" t="s">
        <v>8</v>
      </c>
      <c r="B57" s="3" t="s">
        <v>59</v>
      </c>
      <c r="C57" s="3" t="s">
        <v>113</v>
      </c>
      <c r="D57" s="3" t="s">
        <v>171</v>
      </c>
      <c r="E57" s="3" t="s">
        <v>59</v>
      </c>
      <c r="F57" s="3" t="s">
        <v>32</v>
      </c>
      <c r="G57" s="3" t="s">
        <v>172</v>
      </c>
      <c r="H57" s="3"/>
      <c r="I57" s="3" t="str">
        <f>'2024_Roster_Offseason'!$C57&amp;'2024_Roster_Offseason'!$D57</f>
        <v>ChristianHarris</v>
      </c>
      <c r="J57" s="10">
        <v>0.14</v>
      </c>
      <c r="K57" s="10">
        <v>0.06</v>
      </c>
      <c r="L57" s="3">
        <v>0.0</v>
      </c>
      <c r="M57" s="3">
        <v>20.33</v>
      </c>
      <c r="N57" s="3">
        <v>0.0</v>
      </c>
      <c r="O57" s="3" t="str">
        <f t="array" ref="O57">INDEX('2024_Transactions'!$J$2:$J$339,MATCH(1,('2024_Transactions'!$C$2:$C$339='2024_Roster_Offseason'!$I57)*('2024_Roster_Offseason'!$A57='2024_Transactions'!$B$2:$B$339),0))</f>
        <v>#N/A</v>
      </c>
      <c r="P57" s="11">
        <f t="array" ref="P57">INDEX('2024_Draft_team'!$J$2:$J$271,MATCH(1,('2024_Roster_Offseason'!$I57='2024_Draft_team'!$Q$2:$Q$271)*('2024_Roster_Offseason'!$A57='2024_Draft_team'!$B$2:$B$271),0))</f>
        <v>7</v>
      </c>
      <c r="Q57" s="15" t="s">
        <v>34</v>
      </c>
    </row>
    <row r="58" ht="14.25" customHeight="1">
      <c r="A58" s="2" t="s">
        <v>8</v>
      </c>
      <c r="B58" s="2" t="s">
        <v>59</v>
      </c>
      <c r="C58" s="2" t="s">
        <v>173</v>
      </c>
      <c r="D58" s="2" t="s">
        <v>174</v>
      </c>
      <c r="E58" s="2" t="s">
        <v>59</v>
      </c>
      <c r="F58" s="2" t="s">
        <v>32</v>
      </c>
      <c r="G58" s="2" t="s">
        <v>148</v>
      </c>
      <c r="H58" s="2"/>
      <c r="I58" s="2" t="str">
        <f>'2024_Roster_Offseason'!$C58&amp;'2024_Roster_Offseason'!$D58</f>
        <v>DevinLloyd</v>
      </c>
      <c r="J58" s="7">
        <v>0.44</v>
      </c>
      <c r="K58" s="7">
        <v>0.26</v>
      </c>
      <c r="L58" s="2">
        <v>0.0</v>
      </c>
      <c r="M58" s="2">
        <v>18.31</v>
      </c>
      <c r="N58" s="2">
        <v>0.0</v>
      </c>
      <c r="O58" s="2" t="str">
        <f t="array" ref="O58">INDEX('2024_Transactions'!$J$2:$J$339,MATCH(1,('2024_Transactions'!$C$2:$C$339='2024_Roster_Offseason'!$I58)*('2024_Roster_Offseason'!$A58='2024_Transactions'!$B$2:$B$339),0))</f>
        <v>Signed</v>
      </c>
      <c r="P58" s="14">
        <f t="array" ref="P58">IFERROR(INDEX('2024_Draft_team'!$J$2:$J$271,MATCH(1,('2024_Roster_Offseason'!$I58='2024_Draft_team'!$Q$2:$Q$271)*('2024_Roster_Offseason'!$A58='2024_Draft_team'!$B$2:$B$271),0)),15)</f>
        <v>15</v>
      </c>
      <c r="Q58" s="16" t="s">
        <v>38</v>
      </c>
    </row>
    <row r="59" ht="14.25" customHeight="1">
      <c r="A59" s="3" t="s">
        <v>8</v>
      </c>
      <c r="B59" s="3" t="s">
        <v>59</v>
      </c>
      <c r="C59" s="3" t="s">
        <v>175</v>
      </c>
      <c r="D59" s="3" t="s">
        <v>176</v>
      </c>
      <c r="E59" s="3" t="s">
        <v>59</v>
      </c>
      <c r="F59" s="3" t="s">
        <v>32</v>
      </c>
      <c r="G59" s="3" t="s">
        <v>82</v>
      </c>
      <c r="H59" s="3"/>
      <c r="I59" s="3" t="str">
        <f>'2024_Roster_Offseason'!$C59&amp;'2024_Roster_Offseason'!$D59</f>
        <v>DariusMuasau</v>
      </c>
      <c r="J59" s="10">
        <v>0.09</v>
      </c>
      <c r="K59" s="10">
        <v>0.06</v>
      </c>
      <c r="L59" s="3">
        <v>0.0</v>
      </c>
      <c r="M59" s="3">
        <v>8.67</v>
      </c>
      <c r="N59" s="3">
        <v>0.0</v>
      </c>
      <c r="O59" s="3" t="str">
        <f t="array" ref="O59">INDEX('2024_Transactions'!$J$2:$J$339,MATCH(1,('2024_Transactions'!$C$2:$C$339='2024_Roster_Offseason'!$I59)*('2024_Roster_Offseason'!$A59='2024_Transactions'!$B$2:$B$339),0))</f>
        <v>Signed</v>
      </c>
      <c r="P59" s="13">
        <f t="array" ref="P59">IFERROR(INDEX('2024_Draft_team'!$J$2:$J$271,MATCH(1,('2024_Roster_Offseason'!$I59='2024_Draft_team'!$Q$2:$Q$271)*('2024_Roster_Offseason'!$A59='2024_Draft_team'!$B$2:$B$271),0)),15)</f>
        <v>15</v>
      </c>
      <c r="Q59" s="15" t="s">
        <v>34</v>
      </c>
    </row>
    <row r="60" ht="14.25" customHeight="1">
      <c r="A60" s="2" t="s">
        <v>8</v>
      </c>
      <c r="B60" s="2" t="s">
        <v>59</v>
      </c>
      <c r="C60" s="2" t="s">
        <v>177</v>
      </c>
      <c r="D60" s="2" t="s">
        <v>178</v>
      </c>
      <c r="E60" s="2" t="s">
        <v>59</v>
      </c>
      <c r="F60" s="2" t="s">
        <v>32</v>
      </c>
      <c r="G60" s="2" t="s">
        <v>179</v>
      </c>
      <c r="H60" s="2"/>
      <c r="I60" s="2" t="str">
        <f>'2024_Roster_Offseason'!$C60&amp;'2024_Roster_Offseason'!$D60</f>
        <v>TrentonSimpson</v>
      </c>
      <c r="J60" s="7">
        <v>0.45</v>
      </c>
      <c r="K60" s="7">
        <v>0.23</v>
      </c>
      <c r="L60" s="2">
        <v>0.0</v>
      </c>
      <c r="M60" s="2">
        <v>11.12</v>
      </c>
      <c r="N60" s="2">
        <v>0.0</v>
      </c>
      <c r="O60" s="2" t="str">
        <f t="array" ref="O60">INDEX('2024_Transactions'!$J$2:$J$339,MATCH(1,('2024_Transactions'!$C$2:$C$339='2024_Roster_Offseason'!$I60)*('2024_Roster_Offseason'!$A60='2024_Transactions'!$B$2:$B$339),0))</f>
        <v>#N/A</v>
      </c>
      <c r="P60" s="8">
        <f t="array" ref="P60">INDEX('2024_Draft_team'!$J$2:$J$271,MATCH(1,('2024_Roster_Offseason'!$I60='2024_Draft_team'!$Q$2:$Q$271)*('2024_Roster_Offseason'!$A60='2024_Draft_team'!$B$2:$B$271),0))</f>
        <v>17</v>
      </c>
      <c r="Q60" s="9" t="s">
        <v>38</v>
      </c>
    </row>
    <row r="61" ht="14.25" customHeight="1">
      <c r="A61" s="3" t="s">
        <v>8</v>
      </c>
      <c r="B61" s="3" t="s">
        <v>46</v>
      </c>
      <c r="C61" s="3" t="s">
        <v>180</v>
      </c>
      <c r="D61" s="3" t="s">
        <v>181</v>
      </c>
      <c r="E61" s="3" t="s">
        <v>46</v>
      </c>
      <c r="F61" s="3" t="s">
        <v>32</v>
      </c>
      <c r="G61" s="3" t="s">
        <v>33</v>
      </c>
      <c r="H61" s="3"/>
      <c r="I61" s="3" t="str">
        <f>'2024_Roster_Offseason'!$C61&amp;'2024_Roster_Offseason'!$D61</f>
        <v>ChrisOlave</v>
      </c>
      <c r="J61" s="10">
        <v>0.64</v>
      </c>
      <c r="K61" s="10">
        <v>0.03</v>
      </c>
      <c r="L61" s="3">
        <v>0.0</v>
      </c>
      <c r="M61" s="3">
        <v>15.12</v>
      </c>
      <c r="N61" s="3">
        <v>0.0</v>
      </c>
      <c r="O61" s="3" t="str">
        <f t="array" ref="O61">INDEX('2024_Transactions'!$J$2:$J$339,MATCH(1,('2024_Transactions'!$C$2:$C$339='2024_Roster_Offseason'!$I61)*('2024_Roster_Offseason'!$A61='2024_Transactions'!$B$2:$B$339),0))</f>
        <v>#N/A</v>
      </c>
      <c r="P61" s="11">
        <f t="array" ref="P61">INDEX('2024_Draft_team'!$J$2:$J$271,MATCH(1,('2024_Roster_Offseason'!$I61='2024_Draft_team'!$Q$2:$Q$271)*('2024_Roster_Offseason'!$A61='2024_Draft_team'!$B$2:$B$271),0))</f>
        <v>3</v>
      </c>
      <c r="Q61" s="15" t="s">
        <v>34</v>
      </c>
    </row>
    <row r="62" ht="14.25" customHeight="1">
      <c r="A62" s="2" t="s">
        <v>8</v>
      </c>
      <c r="B62" s="2" t="s">
        <v>59</v>
      </c>
      <c r="C62" s="2" t="s">
        <v>182</v>
      </c>
      <c r="D62" s="2" t="s">
        <v>183</v>
      </c>
      <c r="E62" s="2" t="s">
        <v>59</v>
      </c>
      <c r="F62" s="2" t="s">
        <v>32</v>
      </c>
      <c r="G62" s="2" t="s">
        <v>42</v>
      </c>
      <c r="H62" s="2"/>
      <c r="I62" s="2" t="str">
        <f>'2024_Roster_Offseason'!$C62&amp;'2024_Roster_Offseason'!$D62</f>
        <v>JeremiahOwusu-Koramoah</v>
      </c>
      <c r="J62" s="7">
        <v>0.33</v>
      </c>
      <c r="K62" s="7">
        <v>0.02</v>
      </c>
      <c r="L62" s="2">
        <v>0.0</v>
      </c>
      <c r="M62" s="2">
        <v>26.38</v>
      </c>
      <c r="N62" s="2">
        <v>0.0</v>
      </c>
      <c r="O62" s="2" t="str">
        <f t="array" ref="O62">INDEX('2024_Transactions'!$J$2:$J$339,MATCH(1,('2024_Transactions'!$C$2:$C$339='2024_Roster_Offseason'!$I62)*('2024_Roster_Offseason'!$A62='2024_Transactions'!$B$2:$B$339),0))</f>
        <v>#N/A</v>
      </c>
      <c r="P62" s="8">
        <f t="array" ref="P62">INDEX('2024_Draft_team'!$J$2:$J$271,MATCH(1,('2024_Roster_Offseason'!$I62='2024_Draft_team'!$Q$2:$Q$271)*('2024_Roster_Offseason'!$A62='2024_Draft_team'!$B$2:$B$271),0))</f>
        <v>5</v>
      </c>
      <c r="Q62" s="16" t="s">
        <v>34</v>
      </c>
    </row>
    <row r="63" ht="14.25" customHeight="1">
      <c r="A63" s="3" t="s">
        <v>12</v>
      </c>
      <c r="B63" s="3" t="s">
        <v>29</v>
      </c>
      <c r="C63" s="3" t="s">
        <v>184</v>
      </c>
      <c r="D63" s="3" t="s">
        <v>185</v>
      </c>
      <c r="E63" s="3" t="s">
        <v>29</v>
      </c>
      <c r="F63" s="3" t="s">
        <v>32</v>
      </c>
      <c r="G63" s="3" t="s">
        <v>98</v>
      </c>
      <c r="H63" s="3"/>
      <c r="I63" s="3" t="str">
        <f>'2024_Roster_Offseason'!$C63&amp;'2024_Roster_Offseason'!$D63</f>
        <v>JaydenDaniels</v>
      </c>
      <c r="J63" s="10">
        <v>0.99</v>
      </c>
      <c r="K63" s="10">
        <v>0.74</v>
      </c>
      <c r="L63" s="3">
        <v>0.0</v>
      </c>
      <c r="M63" s="3">
        <v>53.76</v>
      </c>
      <c r="N63" s="3">
        <v>0.0</v>
      </c>
      <c r="O63" s="3" t="str">
        <f t="array" ref="O63">INDEX('2024_Transactions'!$J$2:$J$339,MATCH(1,('2024_Transactions'!$C$2:$C$339='2024_Roster_Offseason'!$I63)*('2024_Roster_Offseason'!$A63='2024_Transactions'!$B$2:$B$339),0))</f>
        <v>#N/A</v>
      </c>
      <c r="P63" s="11">
        <f t="array" ref="P63">INDEX('2024_Draft_team'!$J$2:$J$271,MATCH(1,('2024_Roster_Offseason'!$I63='2024_Draft_team'!$Q$2:$Q$271)*('2024_Roster_Offseason'!$A63='2024_Draft_team'!$B$2:$B$271),0))</f>
        <v>1</v>
      </c>
      <c r="Q63" s="15" t="s">
        <v>38</v>
      </c>
    </row>
    <row r="64" ht="14.25" customHeight="1">
      <c r="A64" s="2" t="s">
        <v>12</v>
      </c>
      <c r="B64" s="2" t="s">
        <v>29</v>
      </c>
      <c r="C64" s="2" t="s">
        <v>186</v>
      </c>
      <c r="D64" s="2" t="s">
        <v>187</v>
      </c>
      <c r="E64" s="2" t="s">
        <v>29</v>
      </c>
      <c r="F64" s="2" t="s">
        <v>32</v>
      </c>
      <c r="G64" s="2" t="s">
        <v>110</v>
      </c>
      <c r="H64" s="2"/>
      <c r="I64" s="2" t="str">
        <f>'2024_Roster_Offseason'!$C64&amp;'2024_Roster_Offseason'!$D64</f>
        <v>GenoSmith</v>
      </c>
      <c r="J64" s="7">
        <v>0.73</v>
      </c>
      <c r="K64" s="7">
        <v>0.23</v>
      </c>
      <c r="L64" s="2">
        <v>0.0</v>
      </c>
      <c r="M64" s="2">
        <v>35.24</v>
      </c>
      <c r="N64" s="2">
        <v>0.0</v>
      </c>
      <c r="O64" s="2" t="str">
        <f t="array" ref="O64">INDEX('2024_Transactions'!$J$2:$J$339,MATCH(1,('2024_Transactions'!$C$2:$C$339='2024_Roster_Offseason'!$I64)*('2024_Roster_Offseason'!$A64='2024_Transactions'!$B$2:$B$339),0))</f>
        <v>#N/A</v>
      </c>
      <c r="P64" s="8" t="str">
        <f t="array" ref="P64">INDEX('2024_Draft_team'!$J$2:$J$271,MATCH(1,('2024_Roster_Offseason'!$I64='2024_Draft_team'!$Q$2:$Q$271)*('2024_Roster_Offseason'!$A64='2024_Draft_team'!$B$2:$B$271),0))</f>
        <v>N/A</v>
      </c>
      <c r="Q64" s="9" t="s">
        <v>34</v>
      </c>
    </row>
    <row r="65" ht="14.25" customHeight="1">
      <c r="A65" s="3" t="s">
        <v>12</v>
      </c>
      <c r="B65" s="3" t="s">
        <v>39</v>
      </c>
      <c r="C65" s="3" t="s">
        <v>188</v>
      </c>
      <c r="D65" s="3" t="s">
        <v>189</v>
      </c>
      <c r="E65" s="3" t="s">
        <v>39</v>
      </c>
      <c r="F65" s="3" t="s">
        <v>32</v>
      </c>
      <c r="G65" s="3" t="s">
        <v>141</v>
      </c>
      <c r="H65" s="3"/>
      <c r="I65" s="3" t="str">
        <f>'2024_Roster_Offseason'!$C65&amp;'2024_Roster_Offseason'!$D65</f>
        <v>JahmyrGibbs</v>
      </c>
      <c r="J65" s="10">
        <v>1.0</v>
      </c>
      <c r="K65" s="10">
        <v>0.99</v>
      </c>
      <c r="L65" s="3">
        <v>0.0</v>
      </c>
      <c r="M65" s="3">
        <v>36.88</v>
      </c>
      <c r="N65" s="3">
        <v>0.0</v>
      </c>
      <c r="O65" s="3" t="str">
        <f t="array" ref="O65">INDEX('2024_Transactions'!$J$2:$J$339,MATCH(1,('2024_Transactions'!$C$2:$C$339='2024_Roster_Offseason'!$I65)*('2024_Roster_Offseason'!$A65='2024_Transactions'!$B$2:$B$339),0))</f>
        <v>#N/A</v>
      </c>
      <c r="P65" s="11">
        <f t="array" ref="P65">INDEX('2024_Draft_team'!$J$2:$J$271,MATCH(1,('2024_Roster_Offseason'!$I65='2024_Draft_team'!$Q$2:$Q$271)*('2024_Roster_Offseason'!$A65='2024_Draft_team'!$B$2:$B$271),0))</f>
        <v>4</v>
      </c>
      <c r="Q65" s="12" t="s">
        <v>38</v>
      </c>
    </row>
    <row r="66" ht="14.25" customHeight="1">
      <c r="A66" s="2" t="s">
        <v>12</v>
      </c>
      <c r="B66" s="2" t="s">
        <v>39</v>
      </c>
      <c r="C66" s="2" t="s">
        <v>190</v>
      </c>
      <c r="D66" s="2" t="s">
        <v>191</v>
      </c>
      <c r="E66" s="2" t="s">
        <v>39</v>
      </c>
      <c r="F66" s="2" t="s">
        <v>32</v>
      </c>
      <c r="G66" s="2" t="s">
        <v>71</v>
      </c>
      <c r="H66" s="2"/>
      <c r="I66" s="2" t="str">
        <f>'2024_Roster_Offseason'!$C66&amp;'2024_Roster_Offseason'!$D66</f>
        <v>TyjaeSpears</v>
      </c>
      <c r="J66" s="7">
        <v>0.72</v>
      </c>
      <c r="K66" s="7">
        <v>0.3</v>
      </c>
      <c r="L66" s="2">
        <v>0.0</v>
      </c>
      <c r="M66" s="2">
        <v>12.75</v>
      </c>
      <c r="N66" s="2">
        <v>0.0</v>
      </c>
      <c r="O66" s="2" t="str">
        <f t="array" ref="O66">INDEX('2024_Transactions'!$J$2:$J$339,MATCH(1,('2024_Transactions'!$C$2:$C$339='2024_Roster_Offseason'!$I66)*('2024_Roster_Offseason'!$A66='2024_Transactions'!$B$2:$B$339),0))</f>
        <v>Signed</v>
      </c>
      <c r="P66" s="14">
        <f t="array" ref="P66">IFERROR(INDEX('2024_Draft_team'!$J$2:$J$271,MATCH(1,('2024_Roster_Offseason'!$I66='2024_Draft_team'!$Q$2:$Q$271)*('2024_Roster_Offseason'!$A66='2024_Draft_team'!$B$2:$B$271),0)),15)</f>
        <v>15</v>
      </c>
      <c r="Q66" s="9" t="s">
        <v>34</v>
      </c>
    </row>
    <row r="67" ht="14.25" customHeight="1">
      <c r="A67" s="3" t="s">
        <v>12</v>
      </c>
      <c r="B67" s="3" t="s">
        <v>46</v>
      </c>
      <c r="C67" s="3" t="s">
        <v>192</v>
      </c>
      <c r="D67" s="3" t="s">
        <v>193</v>
      </c>
      <c r="E67" s="3" t="s">
        <v>46</v>
      </c>
      <c r="F67" s="3" t="s">
        <v>32</v>
      </c>
      <c r="G67" s="3" t="s">
        <v>119</v>
      </c>
      <c r="H67" s="3"/>
      <c r="I67" s="3" t="str">
        <f>'2024_Roster_Offseason'!$C67&amp;'2024_Roster_Offseason'!$D67</f>
        <v>Ja'MarrChase</v>
      </c>
      <c r="J67" s="10">
        <v>1.0</v>
      </c>
      <c r="K67" s="10">
        <v>0.99</v>
      </c>
      <c r="L67" s="3">
        <v>0.0</v>
      </c>
      <c r="M67" s="3">
        <v>35.41</v>
      </c>
      <c r="N67" s="3">
        <v>0.0</v>
      </c>
      <c r="O67" s="3" t="str">
        <f t="array" ref="O67">INDEX('2024_Transactions'!$J$2:$J$339,MATCH(1,('2024_Transactions'!$C$2:$C$339='2024_Roster_Offseason'!$I67)*('2024_Roster_Offseason'!$A67='2024_Transactions'!$B$2:$B$339),0))</f>
        <v>#N/A</v>
      </c>
      <c r="P67" s="11" t="str">
        <f t="array" ref="P67">INDEX('2024_Draft_team'!$J$2:$J$271,MATCH(1,('2024_Roster_Offseason'!$I67='2024_Draft_team'!$Q$2:$Q$271)*('2024_Roster_Offseason'!$A67='2024_Draft_team'!$B$2:$B$271),0))</f>
        <v>N/A</v>
      </c>
      <c r="Q67" s="12" t="s">
        <v>34</v>
      </c>
    </row>
    <row r="68" ht="14.25" customHeight="1">
      <c r="A68" s="2" t="s">
        <v>12</v>
      </c>
      <c r="B68" s="2" t="s">
        <v>46</v>
      </c>
      <c r="C68" s="2" t="s">
        <v>194</v>
      </c>
      <c r="D68" s="2" t="s">
        <v>195</v>
      </c>
      <c r="E68" s="2" t="s">
        <v>46</v>
      </c>
      <c r="F68" s="2" t="s">
        <v>32</v>
      </c>
      <c r="G68" s="2" t="s">
        <v>79</v>
      </c>
      <c r="H68" s="2"/>
      <c r="I68" s="2" t="str">
        <f>'2024_Roster_Offseason'!$C68&amp;'2024_Roster_Offseason'!$D68</f>
        <v>JustinJefferson</v>
      </c>
      <c r="J68" s="7">
        <v>1.0</v>
      </c>
      <c r="K68" s="7">
        <v>1.0</v>
      </c>
      <c r="L68" s="2">
        <v>0.0</v>
      </c>
      <c r="M68" s="2">
        <v>29.65</v>
      </c>
      <c r="N68" s="2">
        <v>0.0</v>
      </c>
      <c r="O68" s="2" t="str">
        <f t="array" ref="O68">INDEX('2024_Transactions'!$J$2:$J$339,MATCH(1,('2024_Transactions'!$C$2:$C$339='2024_Roster_Offseason'!$I68)*('2024_Roster_Offseason'!$A68='2024_Transactions'!$B$2:$B$339),0))</f>
        <v>#N/A</v>
      </c>
      <c r="P68" s="8" t="str">
        <f t="array" ref="P68">INDEX('2024_Draft_team'!$J$2:$J$271,MATCH(1,('2024_Roster_Offseason'!$I68='2024_Draft_team'!$Q$2:$Q$271)*('2024_Roster_Offseason'!$A68='2024_Draft_team'!$B$2:$B$271),0))</f>
        <v>N/A</v>
      </c>
      <c r="Q68" s="9" t="s">
        <v>34</v>
      </c>
    </row>
    <row r="69" ht="14.25" customHeight="1">
      <c r="A69" s="3" t="s">
        <v>12</v>
      </c>
      <c r="B69" s="3" t="s">
        <v>46</v>
      </c>
      <c r="C69" s="3" t="s">
        <v>196</v>
      </c>
      <c r="D69" s="3" t="s">
        <v>197</v>
      </c>
      <c r="E69" s="3" t="s">
        <v>46</v>
      </c>
      <c r="F69" s="3" t="s">
        <v>32</v>
      </c>
      <c r="G69" s="3" t="s">
        <v>136</v>
      </c>
      <c r="H69" s="3"/>
      <c r="I69" s="3" t="str">
        <f>'2024_Roster_Offseason'!$C69&amp;'2024_Roster_Offseason'!$D69</f>
        <v>PukaNacua</v>
      </c>
      <c r="J69" s="10">
        <v>0.99</v>
      </c>
      <c r="K69" s="10">
        <v>0.9</v>
      </c>
      <c r="L69" s="3">
        <v>0.0</v>
      </c>
      <c r="M69" s="3">
        <v>31.18</v>
      </c>
      <c r="N69" s="3">
        <v>0.0</v>
      </c>
      <c r="O69" s="3" t="str">
        <f t="array" ref="O69">INDEX('2024_Transactions'!$J$2:$J$339,MATCH(1,('2024_Transactions'!$C$2:$C$339='2024_Roster_Offseason'!$I69)*('2024_Roster_Offseason'!$A69='2024_Transactions'!$B$2:$B$339),0))</f>
        <v>#N/A</v>
      </c>
      <c r="P69" s="11">
        <f t="array" ref="P69">INDEX('2024_Draft_team'!$J$2:$J$271,MATCH(1,('2024_Roster_Offseason'!$I69='2024_Draft_team'!$Q$2:$Q$271)*('2024_Roster_Offseason'!$A69='2024_Draft_team'!$B$2:$B$271),0))</f>
        <v>11</v>
      </c>
      <c r="Q69" s="12" t="s">
        <v>38</v>
      </c>
    </row>
    <row r="70" ht="14.25" customHeight="1">
      <c r="A70" s="2" t="s">
        <v>12</v>
      </c>
      <c r="B70" s="2" t="s">
        <v>55</v>
      </c>
      <c r="C70" s="2" t="s">
        <v>198</v>
      </c>
      <c r="D70" s="2" t="s">
        <v>199</v>
      </c>
      <c r="E70" s="2" t="s">
        <v>55</v>
      </c>
      <c r="F70" s="2" t="s">
        <v>32</v>
      </c>
      <c r="G70" s="2" t="s">
        <v>172</v>
      </c>
      <c r="H70" s="2"/>
      <c r="I70" s="2" t="str">
        <f>'2024_Roster_Offseason'!$C70&amp;'2024_Roster_Offseason'!$D70</f>
        <v>Ka'imiFairbairn</v>
      </c>
      <c r="J70" s="7">
        <v>0.95</v>
      </c>
      <c r="K70" s="7">
        <v>0.75</v>
      </c>
      <c r="L70" s="2">
        <v>0.0</v>
      </c>
      <c r="M70" s="2">
        <v>22.47</v>
      </c>
      <c r="N70" s="2">
        <v>0.0</v>
      </c>
      <c r="O70" s="2" t="str">
        <f t="array" ref="O70">INDEX('2024_Transactions'!$J$2:$J$339,MATCH(1,('2024_Transactions'!$C$2:$C$339='2024_Roster_Offseason'!$I70)*('2024_Roster_Offseason'!$A70='2024_Transactions'!$B$2:$B$339),0))</f>
        <v>#N/A</v>
      </c>
      <c r="P70" s="8">
        <f t="array" ref="P70">INDEX('2024_Draft_team'!$J$2:$J$271,MATCH(1,('2024_Roster_Offseason'!$I70='2024_Draft_team'!$Q$2:$Q$271)*('2024_Roster_Offseason'!$A70='2024_Draft_team'!$B$2:$B$271),0))</f>
        <v>26</v>
      </c>
      <c r="Q70" s="9" t="s">
        <v>38</v>
      </c>
    </row>
    <row r="71" ht="14.25" customHeight="1">
      <c r="A71" s="3" t="s">
        <v>12</v>
      </c>
      <c r="B71" s="3" t="s">
        <v>59</v>
      </c>
      <c r="C71" s="3" t="s">
        <v>200</v>
      </c>
      <c r="D71" s="3" t="s">
        <v>201</v>
      </c>
      <c r="E71" s="3" t="s">
        <v>59</v>
      </c>
      <c r="F71" s="3" t="s">
        <v>32</v>
      </c>
      <c r="G71" s="3" t="s">
        <v>63</v>
      </c>
      <c r="H71" s="3"/>
      <c r="I71" s="3" t="str">
        <f>'2024_Roster_Offseason'!$C71&amp;'2024_Roster_Offseason'!$D71</f>
        <v>KadenElliss</v>
      </c>
      <c r="J71" s="10">
        <v>0.56</v>
      </c>
      <c r="K71" s="10">
        <v>0.48</v>
      </c>
      <c r="L71" s="3">
        <v>0.0</v>
      </c>
      <c r="M71" s="3">
        <v>24.18</v>
      </c>
      <c r="N71" s="3">
        <v>0.0</v>
      </c>
      <c r="O71" s="3" t="str">
        <f t="array" ref="O71">INDEX('2024_Transactions'!$J$2:$J$339,MATCH(1,('2024_Transactions'!$C$2:$C$339='2024_Roster_Offseason'!$I71)*('2024_Roster_Offseason'!$A71='2024_Transactions'!$B$2:$B$339),0))</f>
        <v>#N/A</v>
      </c>
      <c r="P71" s="11">
        <f t="array" ref="P71">INDEX('2024_Draft_team'!$J$2:$J$271,MATCH(1,('2024_Roster_Offseason'!$I71='2024_Draft_team'!$Q$2:$Q$271)*('2024_Roster_Offseason'!$A71='2024_Draft_team'!$B$2:$B$271),0))</f>
        <v>14</v>
      </c>
      <c r="Q71" s="12" t="s">
        <v>38</v>
      </c>
    </row>
    <row r="72" ht="14.25" customHeight="1">
      <c r="A72" s="2" t="s">
        <v>12</v>
      </c>
      <c r="B72" s="2" t="s">
        <v>59</v>
      </c>
      <c r="C72" s="2" t="s">
        <v>202</v>
      </c>
      <c r="D72" s="2" t="s">
        <v>203</v>
      </c>
      <c r="E72" s="2" t="s">
        <v>59</v>
      </c>
      <c r="F72" s="2" t="s">
        <v>32</v>
      </c>
      <c r="G72" s="2" t="s">
        <v>179</v>
      </c>
      <c r="H72" s="2"/>
      <c r="I72" s="2" t="str">
        <f>'2024_Roster_Offseason'!$C72&amp;'2024_Roster_Offseason'!$D72</f>
        <v>KyleHamilton</v>
      </c>
      <c r="J72" s="7">
        <v>0.67</v>
      </c>
      <c r="K72" s="7">
        <v>0.48</v>
      </c>
      <c r="L72" s="2">
        <v>0.0</v>
      </c>
      <c r="M72" s="2">
        <v>20.59</v>
      </c>
      <c r="N72" s="2">
        <v>0.0</v>
      </c>
      <c r="O72" s="2" t="str">
        <f t="array" ref="O72">INDEX('2024_Transactions'!$J$2:$J$339,MATCH(1,('2024_Transactions'!$C$2:$C$339='2024_Roster_Offseason'!$I72)*('2024_Roster_Offseason'!$A72='2024_Transactions'!$B$2:$B$339),0))</f>
        <v>#N/A</v>
      </c>
      <c r="P72" s="8">
        <f t="array" ref="P72">INDEX('2024_Draft_team'!$J$2:$J$271,MATCH(1,('2024_Roster_Offseason'!$I72='2024_Draft_team'!$Q$2:$Q$271)*('2024_Roster_Offseason'!$A72='2024_Draft_team'!$B$2:$B$271),0))</f>
        <v>16</v>
      </c>
      <c r="Q72" s="9" t="s">
        <v>38</v>
      </c>
    </row>
    <row r="73" ht="14.25" customHeight="1">
      <c r="A73" s="3" t="s">
        <v>12</v>
      </c>
      <c r="B73" s="3" t="s">
        <v>59</v>
      </c>
      <c r="C73" s="3" t="s">
        <v>204</v>
      </c>
      <c r="D73" s="3" t="s">
        <v>102</v>
      </c>
      <c r="E73" s="3" t="s">
        <v>59</v>
      </c>
      <c r="F73" s="3" t="s">
        <v>32</v>
      </c>
      <c r="G73" s="3" t="s">
        <v>110</v>
      </c>
      <c r="H73" s="3"/>
      <c r="I73" s="3" t="str">
        <f>'2024_Roster_Offseason'!$C73&amp;'2024_Roster_Offseason'!$D73</f>
        <v>ErnestJones</v>
      </c>
      <c r="J73" s="10">
        <v>0.62</v>
      </c>
      <c r="K73" s="10">
        <v>0.49</v>
      </c>
      <c r="L73" s="3">
        <v>0.0</v>
      </c>
      <c r="M73" s="3">
        <v>20.56</v>
      </c>
      <c r="N73" s="3">
        <v>0.0</v>
      </c>
      <c r="O73" s="3" t="str">
        <f t="array" ref="O73">INDEX('2024_Transactions'!$J$2:$J$339,MATCH(1,('2024_Transactions'!$C$2:$C$339='2024_Roster_Offseason'!$I73)*('2024_Roster_Offseason'!$A73='2024_Transactions'!$B$2:$B$339),0))</f>
        <v>#N/A</v>
      </c>
      <c r="P73" s="11">
        <f t="array" ref="P73">INDEX('2024_Draft_team'!$J$2:$J$271,MATCH(1,('2024_Roster_Offseason'!$I73='2024_Draft_team'!$Q$2:$Q$271)*('2024_Roster_Offseason'!$A73='2024_Draft_team'!$B$2:$B$271),0))</f>
        <v>3</v>
      </c>
      <c r="Q73" s="12" t="s">
        <v>34</v>
      </c>
    </row>
    <row r="74" ht="14.25" customHeight="1">
      <c r="A74" s="2" t="s">
        <v>12</v>
      </c>
      <c r="B74" s="2" t="s">
        <v>59</v>
      </c>
      <c r="C74" s="2" t="s">
        <v>205</v>
      </c>
      <c r="D74" s="2" t="s">
        <v>206</v>
      </c>
      <c r="E74" s="2" t="s">
        <v>59</v>
      </c>
      <c r="F74" s="2" t="s">
        <v>32</v>
      </c>
      <c r="G74" s="2" t="s">
        <v>110</v>
      </c>
      <c r="H74" s="2"/>
      <c r="I74" s="2" t="str">
        <f>'2024_Roster_Offseason'!$C74&amp;'2024_Roster_Offseason'!$D74</f>
        <v>TyriceKnight</v>
      </c>
      <c r="J74" s="7">
        <v>0.12</v>
      </c>
      <c r="K74" s="7">
        <v>0.07</v>
      </c>
      <c r="L74" s="2">
        <v>0.0</v>
      </c>
      <c r="M74" s="2">
        <v>12.31</v>
      </c>
      <c r="N74" s="2">
        <v>0.0</v>
      </c>
      <c r="O74" s="2" t="str">
        <f t="array" ref="O74">INDEX('2024_Transactions'!$J$2:$J$339,MATCH(1,('2024_Transactions'!$C$2:$C$339='2024_Roster_Offseason'!$I74)*('2024_Roster_Offseason'!$A74='2024_Transactions'!$B$2:$B$339),0))</f>
        <v>Signed</v>
      </c>
      <c r="P74" s="14">
        <f t="array" ref="P74">IFERROR(INDEX('2024_Draft_team'!$J$2:$J$271,MATCH(1,('2024_Roster_Offseason'!$I74='2024_Draft_team'!$Q$2:$Q$271)*('2024_Roster_Offseason'!$A74='2024_Draft_team'!$B$2:$B$271),0)),15)</f>
        <v>15</v>
      </c>
      <c r="Q74" s="9" t="s">
        <v>34</v>
      </c>
    </row>
    <row r="75" ht="14.25" customHeight="1">
      <c r="A75" s="3" t="s">
        <v>12</v>
      </c>
      <c r="B75" s="3" t="s">
        <v>59</v>
      </c>
      <c r="C75" s="3" t="s">
        <v>207</v>
      </c>
      <c r="D75" s="3" t="s">
        <v>208</v>
      </c>
      <c r="E75" s="3" t="s">
        <v>59</v>
      </c>
      <c r="F75" s="3" t="s">
        <v>32</v>
      </c>
      <c r="G75" s="3" t="s">
        <v>82</v>
      </c>
      <c r="H75" s="3"/>
      <c r="I75" s="3" t="str">
        <f>'2024_Roster_Offseason'!$C75&amp;'2024_Roster_Offseason'!$D75</f>
        <v>TySummers</v>
      </c>
      <c r="J75" s="10">
        <v>0.01</v>
      </c>
      <c r="K75" s="10">
        <v>0.01</v>
      </c>
      <c r="L75" s="3">
        <v>0.0</v>
      </c>
      <c r="M75" s="3">
        <v>3.69</v>
      </c>
      <c r="N75" s="3">
        <v>0.0</v>
      </c>
      <c r="O75" s="3" t="str">
        <f t="array" ref="O75">INDEX('2024_Transactions'!$J$2:$J$339,MATCH(1,('2024_Transactions'!$C$2:$C$339='2024_Roster_Offseason'!$I75)*('2024_Roster_Offseason'!$A75='2024_Transactions'!$B$2:$B$339),0))</f>
        <v>Signed</v>
      </c>
      <c r="P75" s="13">
        <f t="array" ref="P75">IFERROR(INDEX('2024_Draft_team'!$J$2:$J$271,MATCH(1,('2024_Roster_Offseason'!$I75='2024_Draft_team'!$Q$2:$Q$271)*('2024_Roster_Offseason'!$A75='2024_Draft_team'!$B$2:$B$271),0)),15)</f>
        <v>15</v>
      </c>
      <c r="Q75" s="12" t="s">
        <v>34</v>
      </c>
    </row>
    <row r="76" ht="14.25" customHeight="1">
      <c r="A76" s="2" t="s">
        <v>12</v>
      </c>
      <c r="B76" s="2" t="s">
        <v>59</v>
      </c>
      <c r="C76" s="2" t="s">
        <v>209</v>
      </c>
      <c r="D76" s="2" t="s">
        <v>210</v>
      </c>
      <c r="E76" s="2" t="s">
        <v>59</v>
      </c>
      <c r="F76" s="2" t="s">
        <v>32</v>
      </c>
      <c r="G76" s="2" t="s">
        <v>33</v>
      </c>
      <c r="H76" s="2"/>
      <c r="I76" s="2" t="str">
        <f>'2024_Roster_Offseason'!$C76&amp;'2024_Roster_Offseason'!$D76</f>
        <v>PeteWerner</v>
      </c>
      <c r="J76" s="7">
        <v>0.11</v>
      </c>
      <c r="K76" s="7">
        <v>0.06</v>
      </c>
      <c r="L76" s="2">
        <v>0.0</v>
      </c>
      <c r="M76" s="2">
        <v>16.0</v>
      </c>
      <c r="N76" s="2">
        <v>0.0</v>
      </c>
      <c r="O76" s="2" t="str">
        <f t="array" ref="O76">INDEX('2024_Transactions'!$J$2:$J$339,MATCH(1,('2024_Transactions'!$C$2:$C$339='2024_Roster_Offseason'!$I76)*('2024_Roster_Offseason'!$A76='2024_Transactions'!$B$2:$B$339),0))</f>
        <v>Signed</v>
      </c>
      <c r="P76" s="14">
        <f t="array" ref="P76">IFERROR(INDEX('2024_Draft_team'!$J$2:$J$271,MATCH(1,('2024_Roster_Offseason'!$I76='2024_Draft_team'!$Q$2:$Q$271)*('2024_Roster_Offseason'!$A76='2024_Draft_team'!$B$2:$B$271),0)),15)</f>
        <v>15</v>
      </c>
      <c r="Q76" s="9" t="s">
        <v>34</v>
      </c>
    </row>
    <row r="77" ht="14.25" customHeight="1">
      <c r="A77" s="3" t="s">
        <v>12</v>
      </c>
      <c r="B77" s="3" t="s">
        <v>59</v>
      </c>
      <c r="C77" s="3" t="s">
        <v>211</v>
      </c>
      <c r="D77" s="3" t="s">
        <v>212</v>
      </c>
      <c r="E77" s="3" t="s">
        <v>59</v>
      </c>
      <c r="F77" s="3" t="s">
        <v>32</v>
      </c>
      <c r="G77" s="3" t="s">
        <v>213</v>
      </c>
      <c r="H77" s="3"/>
      <c r="I77" s="3" t="str">
        <f>'2024_Roster_Offseason'!$C77&amp;'2024_Roster_Offseason'!$D77</f>
        <v>KyzirWhite</v>
      </c>
      <c r="J77" s="10">
        <v>0.34</v>
      </c>
      <c r="K77" s="10">
        <v>0.25</v>
      </c>
      <c r="L77" s="3">
        <v>0.0</v>
      </c>
      <c r="M77" s="3">
        <v>19.0</v>
      </c>
      <c r="N77" s="3">
        <v>0.0</v>
      </c>
      <c r="O77" s="3" t="str">
        <f t="array" ref="O77">INDEX('2024_Transactions'!$J$2:$J$339,MATCH(1,('2024_Transactions'!$C$2:$C$339='2024_Roster_Offseason'!$I77)*('2024_Roster_Offseason'!$A77='2024_Transactions'!$B$2:$B$339),0))</f>
        <v>#N/A</v>
      </c>
      <c r="P77" s="11">
        <f t="array" ref="P77">INDEX('2024_Draft_team'!$J$2:$J$271,MATCH(1,('2024_Roster_Offseason'!$I77='2024_Draft_team'!$Q$2:$Q$271)*('2024_Roster_Offseason'!$A77='2024_Draft_team'!$B$2:$B$271),0))</f>
        <v>8</v>
      </c>
      <c r="Q77" s="12" t="s">
        <v>34</v>
      </c>
    </row>
    <row r="78" ht="14.25" customHeight="1">
      <c r="A78" s="2" t="s">
        <v>12</v>
      </c>
      <c r="B78" s="2" t="s">
        <v>29</v>
      </c>
      <c r="C78" s="2" t="s">
        <v>214</v>
      </c>
      <c r="D78" s="2" t="s">
        <v>215</v>
      </c>
      <c r="E78" s="2" t="s">
        <v>29</v>
      </c>
      <c r="F78" s="2" t="s">
        <v>32</v>
      </c>
      <c r="G78" s="2" t="s">
        <v>170</v>
      </c>
      <c r="H78" s="2"/>
      <c r="I78" s="2" t="str">
        <f>'2024_Roster_Offseason'!$C78&amp;'2024_Roster_Offseason'!$D78</f>
        <v>RussellWilson</v>
      </c>
      <c r="J78" s="7">
        <v>0.76</v>
      </c>
      <c r="K78" s="7">
        <v>0.24</v>
      </c>
      <c r="L78" s="2">
        <v>0.0</v>
      </c>
      <c r="M78" s="2">
        <v>39.36</v>
      </c>
      <c r="N78" s="2">
        <v>0.0</v>
      </c>
      <c r="O78" s="2" t="str">
        <f t="array" ref="O78">INDEX('2024_Transactions'!$J$2:$J$339,MATCH(1,('2024_Transactions'!$C$2:$C$339='2024_Roster_Offseason'!$I78)*('2024_Roster_Offseason'!$A78='2024_Transactions'!$B$2:$B$339),0))</f>
        <v>Signed</v>
      </c>
      <c r="P78" s="14">
        <f t="array" ref="P78">IFERROR(INDEX('2024_Draft_team'!$J$2:$J$271,MATCH(1,('2024_Roster_Offseason'!$I78='2024_Draft_team'!$Q$2:$Q$271)*('2024_Roster_Offseason'!$A78='2024_Draft_team'!$B$2:$B$271),0)),15)</f>
        <v>15</v>
      </c>
      <c r="Q78" s="9" t="s">
        <v>34</v>
      </c>
    </row>
    <row r="79" ht="14.25" customHeight="1">
      <c r="A79" s="3" t="s">
        <v>12</v>
      </c>
      <c r="B79" s="3" t="s">
        <v>39</v>
      </c>
      <c r="C79" s="3" t="s">
        <v>216</v>
      </c>
      <c r="D79" s="3" t="s">
        <v>217</v>
      </c>
      <c r="E79" s="3" t="s">
        <v>39</v>
      </c>
      <c r="F79" s="3" t="s">
        <v>32</v>
      </c>
      <c r="G79" s="3" t="s">
        <v>218</v>
      </c>
      <c r="H79" s="3"/>
      <c r="I79" s="3" t="str">
        <f>'2024_Roster_Offseason'!$C79&amp;'2024_Roster_Offseason'!$D79</f>
        <v>ChubaHubbard</v>
      </c>
      <c r="J79" s="10">
        <v>0.9</v>
      </c>
      <c r="K79" s="10">
        <v>0.49</v>
      </c>
      <c r="L79" s="3">
        <v>0.0</v>
      </c>
      <c r="M79" s="3">
        <v>26.07</v>
      </c>
      <c r="N79" s="3">
        <v>0.0</v>
      </c>
      <c r="O79" s="3" t="str">
        <f t="array" ref="O79">INDEX('2024_Transactions'!$J$2:$J$339,MATCH(1,('2024_Transactions'!$C$2:$C$339='2024_Roster_Offseason'!$I79)*('2024_Roster_Offseason'!$A79='2024_Transactions'!$B$2:$B$339),0))</f>
        <v>#N/A</v>
      </c>
      <c r="P79" s="11">
        <f t="array" ref="P79">INDEX('2024_Draft_team'!$J$2:$J$271,MATCH(1,('2024_Roster_Offseason'!$I79='2024_Draft_team'!$Q$2:$Q$271)*('2024_Roster_Offseason'!$A79='2024_Draft_team'!$B$2:$B$271),0))</f>
        <v>25</v>
      </c>
      <c r="Q79" s="12" t="s">
        <v>38</v>
      </c>
    </row>
    <row r="80" ht="14.25" customHeight="1">
      <c r="A80" s="2" t="s">
        <v>12</v>
      </c>
      <c r="B80" s="2" t="s">
        <v>39</v>
      </c>
      <c r="C80" s="2" t="s">
        <v>219</v>
      </c>
      <c r="D80" s="2" t="s">
        <v>220</v>
      </c>
      <c r="E80" s="2" t="s">
        <v>39</v>
      </c>
      <c r="F80" s="2" t="s">
        <v>32</v>
      </c>
      <c r="G80" s="2" t="s">
        <v>172</v>
      </c>
      <c r="H80" s="2"/>
      <c r="I80" s="2" t="str">
        <f>'2024_Roster_Offseason'!$C80&amp;'2024_Roster_Offseason'!$D80</f>
        <v>JoeMixon</v>
      </c>
      <c r="J80" s="7">
        <v>1.0</v>
      </c>
      <c r="K80" s="7">
        <v>0.81</v>
      </c>
      <c r="L80" s="2">
        <v>0.0</v>
      </c>
      <c r="M80" s="2">
        <v>31.21</v>
      </c>
      <c r="N80" s="2">
        <v>0.0</v>
      </c>
      <c r="O80" s="2" t="str">
        <f t="array" ref="O80">INDEX('2024_Transactions'!$J$2:$J$339,MATCH(1,('2024_Transactions'!$C$2:$C$339='2024_Roster_Offseason'!$I80)*('2024_Roster_Offseason'!$A80='2024_Transactions'!$B$2:$B$339),0))</f>
        <v>#N/A</v>
      </c>
      <c r="P80" s="8">
        <f t="array" ref="P80">INDEX('2024_Draft_team'!$J$2:$J$271,MATCH(1,('2024_Roster_Offseason'!$I80='2024_Draft_team'!$Q$2:$Q$271)*('2024_Roster_Offseason'!$A80='2024_Draft_team'!$B$2:$B$271),0))</f>
        <v>5</v>
      </c>
      <c r="Q80" s="9" t="s">
        <v>34</v>
      </c>
    </row>
    <row r="81" ht="14.25" customHeight="1">
      <c r="A81" s="3" t="s">
        <v>12</v>
      </c>
      <c r="B81" s="3" t="s">
        <v>39</v>
      </c>
      <c r="C81" s="3" t="s">
        <v>221</v>
      </c>
      <c r="D81" s="3" t="s">
        <v>222</v>
      </c>
      <c r="E81" s="3" t="s">
        <v>39</v>
      </c>
      <c r="F81" s="3" t="s">
        <v>32</v>
      </c>
      <c r="G81" s="3" t="s">
        <v>66</v>
      </c>
      <c r="H81" s="3"/>
      <c r="I81" s="3" t="str">
        <f>'2024_Roster_Offseason'!$C81&amp;'2024_Roster_Offseason'!$D81</f>
        <v>D'AndreSwift</v>
      </c>
      <c r="J81" s="10">
        <v>0.98</v>
      </c>
      <c r="K81" s="10">
        <v>0.57</v>
      </c>
      <c r="L81" s="3">
        <v>0.0</v>
      </c>
      <c r="M81" s="3">
        <v>19.12</v>
      </c>
      <c r="N81" s="3">
        <v>0.0</v>
      </c>
      <c r="O81" s="3" t="str">
        <f t="array" ref="O81">INDEX('2024_Transactions'!$J$2:$J$339,MATCH(1,('2024_Transactions'!$C$2:$C$339='2024_Roster_Offseason'!$I81)*('2024_Roster_Offseason'!$A81='2024_Transactions'!$B$2:$B$339),0))</f>
        <v>Signed</v>
      </c>
      <c r="P81" s="13">
        <v>15.0</v>
      </c>
      <c r="Q81" s="12" t="s">
        <v>38</v>
      </c>
    </row>
    <row r="82" ht="14.25" customHeight="1">
      <c r="A82" s="2" t="s">
        <v>12</v>
      </c>
      <c r="B82" s="2" t="s">
        <v>39</v>
      </c>
      <c r="C82" s="2" t="s">
        <v>223</v>
      </c>
      <c r="D82" s="2" t="s">
        <v>224</v>
      </c>
      <c r="E82" s="2" t="s">
        <v>39</v>
      </c>
      <c r="F82" s="2" t="s">
        <v>32</v>
      </c>
      <c r="G82" s="2" t="s">
        <v>170</v>
      </c>
      <c r="H82" s="2"/>
      <c r="I82" s="2" t="str">
        <f>'2024_Roster_Offseason'!$C82&amp;'2024_Roster_Offseason'!$D82</f>
        <v>JaylenWarren</v>
      </c>
      <c r="J82" s="7">
        <v>0.77</v>
      </c>
      <c r="K82" s="7">
        <v>0.22</v>
      </c>
      <c r="L82" s="2">
        <v>0.0</v>
      </c>
      <c r="M82" s="2">
        <v>11.33</v>
      </c>
      <c r="N82" s="2">
        <v>0.0</v>
      </c>
      <c r="O82" s="2" t="str">
        <f t="array" ref="O82">INDEX('2024_Transactions'!$J$2:$J$339,MATCH(1,('2024_Transactions'!$C$2:$C$339='2024_Roster_Offseason'!$I82)*('2024_Roster_Offseason'!$A82='2024_Transactions'!$B$2:$B$339),0))</f>
        <v>#N/A</v>
      </c>
      <c r="P82" s="8">
        <f t="array" ref="P82">INDEX('2024_Draft_team'!$J$2:$J$271,MATCH(1,('2024_Roster_Offseason'!$I82='2024_Draft_team'!$Q$2:$Q$271)*('2024_Roster_Offseason'!$A82='2024_Draft_team'!$B$2:$B$271),0))</f>
        <v>18</v>
      </c>
      <c r="Q82" s="9" t="s">
        <v>38</v>
      </c>
    </row>
    <row r="83" ht="14.25" customHeight="1">
      <c r="A83" s="3" t="s">
        <v>12</v>
      </c>
      <c r="B83" s="3" t="s">
        <v>46</v>
      </c>
      <c r="C83" s="3" t="s">
        <v>225</v>
      </c>
      <c r="D83" s="3" t="s">
        <v>226</v>
      </c>
      <c r="E83" s="3" t="s">
        <v>46</v>
      </c>
      <c r="F83" s="3" t="s">
        <v>32</v>
      </c>
      <c r="G83" s="3" t="s">
        <v>213</v>
      </c>
      <c r="H83" s="3"/>
      <c r="I83" s="3" t="str">
        <f>'2024_Roster_Offseason'!$C83&amp;'2024_Roster_Offseason'!$D83</f>
        <v>TreyMcBride</v>
      </c>
      <c r="J83" s="10">
        <v>0.99</v>
      </c>
      <c r="K83" s="10">
        <v>0.92</v>
      </c>
      <c r="L83" s="3">
        <v>0.0</v>
      </c>
      <c r="M83" s="3">
        <v>24.62</v>
      </c>
      <c r="N83" s="3">
        <v>0.0</v>
      </c>
      <c r="O83" s="3" t="str">
        <f t="array" ref="O83">INDEX('2024_Transactions'!$J$2:$J$339,MATCH(1,('2024_Transactions'!$C$2:$C$339='2024_Roster_Offseason'!$I83)*('2024_Roster_Offseason'!$A83='2024_Transactions'!$B$2:$B$339),0))</f>
        <v>#N/A</v>
      </c>
      <c r="P83" s="11">
        <f t="array" ref="P83">INDEX('2024_Draft_team'!$J$2:$J$271,MATCH(1,('2024_Roster_Offseason'!$I83='2024_Draft_team'!$Q$2:$Q$271)*('2024_Roster_Offseason'!$A83='2024_Draft_team'!$B$2:$B$271),0))</f>
        <v>23</v>
      </c>
      <c r="Q83" s="12" t="s">
        <v>38</v>
      </c>
    </row>
    <row r="84" ht="14.25" customHeight="1">
      <c r="A84" s="2" t="s">
        <v>12</v>
      </c>
      <c r="B84" s="2" t="s">
        <v>46</v>
      </c>
      <c r="C84" s="2" t="s">
        <v>227</v>
      </c>
      <c r="D84" s="2" t="s">
        <v>228</v>
      </c>
      <c r="E84" s="2" t="s">
        <v>46</v>
      </c>
      <c r="F84" s="2" t="s">
        <v>32</v>
      </c>
      <c r="G84" s="2" t="s">
        <v>110</v>
      </c>
      <c r="H84" s="2"/>
      <c r="I84" s="2" t="str">
        <f>'2024_Roster_Offseason'!$C84&amp;'2024_Roster_Offseason'!$D84</f>
        <v>DKMetcalf</v>
      </c>
      <c r="J84" s="7">
        <v>0.99</v>
      </c>
      <c r="K84" s="7">
        <v>0.66</v>
      </c>
      <c r="L84" s="2">
        <v>0.0</v>
      </c>
      <c r="M84" s="2">
        <v>20.47</v>
      </c>
      <c r="N84" s="2">
        <v>0.0</v>
      </c>
      <c r="O84" s="2" t="str">
        <f t="array" ref="O84">INDEX('2024_Transactions'!$J$2:$J$339,MATCH(1,('2024_Transactions'!$C$2:$C$339='2024_Roster_Offseason'!$I84)*('2024_Roster_Offseason'!$A84='2024_Transactions'!$B$2:$B$339),0))</f>
        <v>#N/A</v>
      </c>
      <c r="P84" s="8">
        <f t="array" ref="P84">INDEX('2024_Draft_team'!$J$2:$J$271,MATCH(1,('2024_Roster_Offseason'!$I84='2024_Draft_team'!$Q$2:$Q$271)*('2024_Roster_Offseason'!$A84='2024_Draft_team'!$B$2:$B$271),0))</f>
        <v>7</v>
      </c>
      <c r="Q84" s="9" t="s">
        <v>38</v>
      </c>
    </row>
    <row r="85" ht="14.25" customHeight="1">
      <c r="A85" s="3" t="s">
        <v>12</v>
      </c>
      <c r="B85" s="3" t="s">
        <v>59</v>
      </c>
      <c r="C85" s="3" t="s">
        <v>229</v>
      </c>
      <c r="D85" s="3" t="s">
        <v>230</v>
      </c>
      <c r="E85" s="3" t="s">
        <v>59</v>
      </c>
      <c r="F85" s="3" t="s">
        <v>32</v>
      </c>
      <c r="G85" s="3" t="s">
        <v>172</v>
      </c>
      <c r="H85" s="3"/>
      <c r="I85" s="3" t="str">
        <f>'2024_Roster_Offseason'!$C85&amp;'2024_Roster_Offseason'!$D85</f>
        <v>AzeezAl-Shaair</v>
      </c>
      <c r="J85" s="10">
        <v>0.17</v>
      </c>
      <c r="K85" s="10">
        <v>0.03</v>
      </c>
      <c r="L85" s="3">
        <v>0.0</v>
      </c>
      <c r="M85" s="3">
        <v>20.55</v>
      </c>
      <c r="N85" s="3">
        <v>0.0</v>
      </c>
      <c r="O85" s="3" t="str">
        <f t="array" ref="O85">INDEX('2024_Transactions'!$J$2:$J$339,MATCH(1,('2024_Transactions'!$C$2:$C$339='2024_Roster_Offseason'!$I85)*('2024_Roster_Offseason'!$A85='2024_Transactions'!$B$2:$B$339),0))</f>
        <v>#N/A</v>
      </c>
      <c r="P85" s="11">
        <f t="array" ref="P85">INDEX('2024_Draft_team'!$J$2:$J$271,MATCH(1,('2024_Roster_Offseason'!$I85='2024_Draft_team'!$Q$2:$Q$271)*('2024_Roster_Offseason'!$A85='2024_Draft_team'!$B$2:$B$271),0))</f>
        <v>6</v>
      </c>
      <c r="Q85" s="12" t="s">
        <v>34</v>
      </c>
    </row>
    <row r="86" ht="14.25" customHeight="1">
      <c r="A86" s="2" t="s">
        <v>12</v>
      </c>
      <c r="B86" s="2" t="s">
        <v>59</v>
      </c>
      <c r="C86" s="2" t="s">
        <v>231</v>
      </c>
      <c r="D86" s="2" t="s">
        <v>232</v>
      </c>
      <c r="E86" s="2" t="s">
        <v>59</v>
      </c>
      <c r="F86" s="2" t="s">
        <v>32</v>
      </c>
      <c r="G86" s="2" t="s">
        <v>87</v>
      </c>
      <c r="H86" s="2"/>
      <c r="I86" s="2" t="str">
        <f>'2024_Roster_Offseason'!$C86&amp;'2024_Roster_Offseason'!$D86</f>
        <v>DaRonBland</v>
      </c>
      <c r="J86" s="7">
        <v>0.41</v>
      </c>
      <c r="K86" s="7">
        <v>0.34</v>
      </c>
      <c r="L86" s="2">
        <v>0.0</v>
      </c>
      <c r="M86" s="2">
        <v>16.0</v>
      </c>
      <c r="N86" s="2">
        <v>0.0</v>
      </c>
      <c r="O86" s="2" t="str">
        <f t="array" ref="O86">INDEX('2024_Transactions'!$J$2:$J$339,MATCH(1,('2024_Transactions'!$C$2:$C$339='2024_Roster_Offseason'!$I86)*('2024_Roster_Offseason'!$A86='2024_Transactions'!$B$2:$B$339),0))</f>
        <v>Signed</v>
      </c>
      <c r="P86" s="14">
        <f t="array" ref="P86">IFERROR(INDEX('2024_Draft_team'!$J$2:$J$271,MATCH(1,('2024_Roster_Offseason'!$I86='2024_Draft_team'!$Q$2:$Q$271)*('2024_Roster_Offseason'!$A86='2024_Draft_team'!$B$2:$B$271),0)),15)</f>
        <v>15</v>
      </c>
      <c r="Q86" s="9" t="s">
        <v>34</v>
      </c>
    </row>
    <row r="87" ht="14.25" customHeight="1">
      <c r="A87" s="3" t="s">
        <v>12</v>
      </c>
      <c r="B87" s="3" t="s">
        <v>59</v>
      </c>
      <c r="C87" s="3" t="s">
        <v>233</v>
      </c>
      <c r="D87" s="3" t="s">
        <v>234</v>
      </c>
      <c r="E87" s="3" t="s">
        <v>59</v>
      </c>
      <c r="F87" s="3" t="s">
        <v>32</v>
      </c>
      <c r="G87" s="3" t="s">
        <v>71</v>
      </c>
      <c r="H87" s="3"/>
      <c r="I87" s="3" t="str">
        <f>'2024_Roster_Offseason'!$C87&amp;'2024_Roster_Offseason'!$D87</f>
        <v>CedricGray</v>
      </c>
      <c r="J87" s="10">
        <v>0.05</v>
      </c>
      <c r="K87" s="10">
        <v>0.01</v>
      </c>
      <c r="L87" s="3">
        <v>0.0</v>
      </c>
      <c r="M87" s="3">
        <v>6.86</v>
      </c>
      <c r="N87" s="3">
        <v>0.0</v>
      </c>
      <c r="O87" s="3" t="str">
        <f t="array" ref="O87">INDEX('2024_Transactions'!$J$2:$J$339,MATCH(1,('2024_Transactions'!$C$2:$C$339='2024_Roster_Offseason'!$I87)*('2024_Roster_Offseason'!$A87='2024_Transactions'!$B$2:$B$339),0))</f>
        <v>Signed</v>
      </c>
      <c r="P87" s="13">
        <f t="array" ref="P87">IFERROR(INDEX('2024_Draft_team'!$J$2:$J$271,MATCH(1,('2024_Roster_Offseason'!$I87='2024_Draft_team'!$Q$2:$Q$271)*('2024_Roster_Offseason'!$A87='2024_Draft_team'!$B$2:$B$271),0)),15)</f>
        <v>15</v>
      </c>
      <c r="Q87" s="12" t="s">
        <v>34</v>
      </c>
    </row>
    <row r="88" ht="14.25" customHeight="1">
      <c r="A88" s="2" t="s">
        <v>12</v>
      </c>
      <c r="B88" s="2" t="s">
        <v>59</v>
      </c>
      <c r="C88" s="2" t="s">
        <v>149</v>
      </c>
      <c r="D88" s="2" t="s">
        <v>235</v>
      </c>
      <c r="E88" s="2" t="s">
        <v>59</v>
      </c>
      <c r="F88" s="2" t="s">
        <v>32</v>
      </c>
      <c r="G88" s="2" t="s">
        <v>82</v>
      </c>
      <c r="H88" s="2"/>
      <c r="I88" s="2" t="str">
        <f>'2024_Roster_Offseason'!$C88&amp;'2024_Roster_Offseason'!$D88</f>
        <v>MicahMcFadden</v>
      </c>
      <c r="J88" s="7">
        <v>0.37</v>
      </c>
      <c r="K88" s="7">
        <v>0.22</v>
      </c>
      <c r="L88" s="2">
        <v>0.0</v>
      </c>
      <c r="M88" s="2">
        <v>19.86</v>
      </c>
      <c r="N88" s="2">
        <v>0.0</v>
      </c>
      <c r="O88" s="2" t="str">
        <f t="array" ref="O88">INDEX('2024_Transactions'!$J$2:$J$339,MATCH(1,('2024_Transactions'!$C$2:$C$339='2024_Roster_Offseason'!$I88)*('2024_Roster_Offseason'!$A88='2024_Transactions'!$B$2:$B$339),0))</f>
        <v>#N/A</v>
      </c>
      <c r="P88" s="8">
        <f t="array" ref="P88">INDEX('2024_Draft_team'!$J$2:$J$271,MATCH(1,('2024_Roster_Offseason'!$I88='2024_Draft_team'!$Q$2:$Q$271)*('2024_Roster_Offseason'!$A88='2024_Draft_team'!$B$2:$B$271),0))</f>
        <v>27</v>
      </c>
      <c r="Q88" s="9" t="s">
        <v>38</v>
      </c>
    </row>
    <row r="89" ht="14.25" customHeight="1">
      <c r="A89" s="3" t="s">
        <v>12</v>
      </c>
      <c r="B89" s="3" t="s">
        <v>59</v>
      </c>
      <c r="C89" s="3" t="s">
        <v>236</v>
      </c>
      <c r="D89" s="3" t="s">
        <v>57</v>
      </c>
      <c r="E89" s="3" t="s">
        <v>59</v>
      </c>
      <c r="F89" s="3" t="s">
        <v>32</v>
      </c>
      <c r="G89" s="3" t="s">
        <v>103</v>
      </c>
      <c r="H89" s="3"/>
      <c r="I89" s="3" t="str">
        <f>'2024_Roster_Offseason'!$C89&amp;'2024_Roster_Offseason'!$D89</f>
        <v>DrewSanders</v>
      </c>
      <c r="J89" s="10">
        <v>0.05</v>
      </c>
      <c r="K89" s="10">
        <v>0.01</v>
      </c>
      <c r="L89" s="3">
        <v>0.0</v>
      </c>
      <c r="M89" s="3">
        <v>7.75</v>
      </c>
      <c r="N89" s="3">
        <v>0.0</v>
      </c>
      <c r="O89" s="3" t="str">
        <f t="array" ref="O89">INDEX('2024_Transactions'!$J$2:$J$339,MATCH(1,('2024_Transactions'!$C$2:$C$339='2024_Roster_Offseason'!$I89)*('2024_Roster_Offseason'!$A89='2024_Transactions'!$B$2:$B$339),0))</f>
        <v>Signed</v>
      </c>
      <c r="P89" s="13">
        <f t="array" ref="P89">IFERROR(INDEX('2024_Draft_team'!$J$2:$J$271,MATCH(1,('2024_Roster_Offseason'!$I89='2024_Draft_team'!$Q$2:$Q$271)*('2024_Roster_Offseason'!$A89='2024_Draft_team'!$B$2:$B$271),0)),15)</f>
        <v>15</v>
      </c>
      <c r="Q89" s="12" t="s">
        <v>34</v>
      </c>
    </row>
    <row r="90" ht="14.25" customHeight="1">
      <c r="A90" s="2" t="s">
        <v>12</v>
      </c>
      <c r="B90" s="2" t="s">
        <v>46</v>
      </c>
      <c r="C90" s="2" t="s">
        <v>180</v>
      </c>
      <c r="D90" s="2" t="s">
        <v>237</v>
      </c>
      <c r="E90" s="2" t="s">
        <v>46</v>
      </c>
      <c r="F90" s="2" t="s">
        <v>32</v>
      </c>
      <c r="G90" s="2" t="s">
        <v>238</v>
      </c>
      <c r="H90" s="2"/>
      <c r="I90" s="2" t="str">
        <f>'2024_Roster_Offseason'!$C90&amp;'2024_Roster_Offseason'!$D90</f>
        <v>ChrisGodwin</v>
      </c>
      <c r="J90" s="7">
        <v>0.26</v>
      </c>
      <c r="K90" s="7">
        <v>0.02</v>
      </c>
      <c r="L90" s="2">
        <v>0.0</v>
      </c>
      <c r="M90" s="2">
        <v>30.29</v>
      </c>
      <c r="N90" s="2">
        <v>0.0</v>
      </c>
      <c r="O90" s="2" t="str">
        <f t="array" ref="O90">INDEX('2024_Transactions'!$J$2:$J$339,MATCH(1,('2024_Transactions'!$C$2:$C$339='2024_Roster_Offseason'!$I90)*('2024_Roster_Offseason'!$A90='2024_Transactions'!$B$2:$B$339),0))</f>
        <v>#N/A</v>
      </c>
      <c r="P90" s="8">
        <f t="array" ref="P90">INDEX('2024_Draft_team'!$J$2:$J$271,MATCH(1,('2024_Roster_Offseason'!$I90='2024_Draft_team'!$Q$2:$Q$271)*('2024_Roster_Offseason'!$A90='2024_Draft_team'!$B$2:$B$271),0))</f>
        <v>12</v>
      </c>
      <c r="Q90" s="9" t="s">
        <v>34</v>
      </c>
    </row>
    <row r="91" ht="14.25" customHeight="1">
      <c r="A91" s="3" t="s">
        <v>12</v>
      </c>
      <c r="B91" s="3" t="s">
        <v>59</v>
      </c>
      <c r="C91" s="3" t="s">
        <v>239</v>
      </c>
      <c r="D91" s="3" t="s">
        <v>240</v>
      </c>
      <c r="E91" s="3" t="s">
        <v>59</v>
      </c>
      <c r="F91" s="3" t="s">
        <v>32</v>
      </c>
      <c r="G91" s="3" t="s">
        <v>218</v>
      </c>
      <c r="H91" s="3"/>
      <c r="I91" s="3" t="str">
        <f>'2024_Roster_Offseason'!$C91&amp;'2024_Roster_Offseason'!$D91</f>
        <v>ShaqGreen-Thompson</v>
      </c>
      <c r="J91" s="10">
        <v>0.08</v>
      </c>
      <c r="K91" s="10">
        <v>0.01</v>
      </c>
      <c r="L91" s="3">
        <v>0.0</v>
      </c>
      <c r="M91" s="3">
        <v>19.25</v>
      </c>
      <c r="N91" s="3">
        <v>0.0</v>
      </c>
      <c r="O91" s="3" t="str">
        <f t="array" ref="O91">INDEX('2024_Transactions'!$J$2:$J$339,MATCH(1,('2024_Transactions'!$C$2:$C$339='2024_Roster_Offseason'!$I91)*('2024_Roster_Offseason'!$A91='2024_Transactions'!$B$2:$B$339),0))</f>
        <v>#N/A</v>
      </c>
      <c r="P91" s="11">
        <f t="array" ref="P91">INDEX('2024_Draft_team'!$J$2:$J$271,MATCH(1,('2024_Roster_Offseason'!$I91='2024_Draft_team'!$Q$2:$Q$271)*('2024_Roster_Offseason'!$A91='2024_Draft_team'!$B$2:$B$271),0))</f>
        <v>10</v>
      </c>
      <c r="Q91" s="12" t="s">
        <v>34</v>
      </c>
    </row>
    <row r="92" ht="14.25" customHeight="1">
      <c r="A92" s="2" t="s">
        <v>12</v>
      </c>
      <c r="B92" s="2" t="s">
        <v>59</v>
      </c>
      <c r="C92" s="2" t="s">
        <v>241</v>
      </c>
      <c r="D92" s="2" t="s">
        <v>242</v>
      </c>
      <c r="E92" s="2" t="s">
        <v>59</v>
      </c>
      <c r="F92" s="2" t="s">
        <v>32</v>
      </c>
      <c r="G92" s="2" t="s">
        <v>71</v>
      </c>
      <c r="H92" s="2"/>
      <c r="I92" s="2" t="str">
        <f>'2024_Roster_Offseason'!$C92&amp;'2024_Roster_Offseason'!$D92</f>
        <v>KennethMurray</v>
      </c>
      <c r="J92" s="7">
        <v>0.33</v>
      </c>
      <c r="K92" s="7">
        <v>0.13</v>
      </c>
      <c r="L92" s="2">
        <v>0.0</v>
      </c>
      <c r="M92" s="2">
        <v>20.0</v>
      </c>
      <c r="N92" s="2">
        <v>0.0</v>
      </c>
      <c r="O92" s="2" t="str">
        <f t="array" ref="O92">INDEX('2024_Transactions'!$J$2:$J$339,MATCH(1,('2024_Transactions'!$C$2:$C$339='2024_Roster_Offseason'!$I92)*('2024_Roster_Offseason'!$A92='2024_Transactions'!$B$2:$B$339),0))</f>
        <v>#N/A</v>
      </c>
      <c r="P92" s="8">
        <f t="array" ref="P92">INDEX('2024_Draft_team'!$J$2:$J$271,MATCH(1,('2024_Roster_Offseason'!$I92='2024_Draft_team'!$Q$2:$Q$271)*('2024_Roster_Offseason'!$A92='2024_Draft_team'!$B$2:$B$271),0))</f>
        <v>6</v>
      </c>
      <c r="Q92" s="9" t="s">
        <v>34</v>
      </c>
    </row>
    <row r="93" ht="14.25" customHeight="1">
      <c r="A93" s="3" t="s">
        <v>12</v>
      </c>
      <c r="B93" s="3" t="s">
        <v>59</v>
      </c>
      <c r="C93" s="3" t="s">
        <v>243</v>
      </c>
      <c r="D93" s="3" t="s">
        <v>244</v>
      </c>
      <c r="E93" s="3" t="s">
        <v>59</v>
      </c>
      <c r="F93" s="3" t="s">
        <v>32</v>
      </c>
      <c r="G93" s="3" t="s">
        <v>82</v>
      </c>
      <c r="H93" s="3"/>
      <c r="I93" s="3" t="str">
        <f>'2024_Roster_Offseason'!$C93&amp;'2024_Roster_Offseason'!$D93</f>
        <v>BobbyOkereke</v>
      </c>
      <c r="J93" s="10">
        <v>0.63</v>
      </c>
      <c r="K93" s="10">
        <v>0.15</v>
      </c>
      <c r="L93" s="3">
        <v>0.0</v>
      </c>
      <c r="M93" s="3">
        <v>19.33</v>
      </c>
      <c r="N93" s="3">
        <v>0.0</v>
      </c>
      <c r="O93" s="3" t="str">
        <f t="array" ref="O93">INDEX('2024_Transactions'!$J$2:$J$339,MATCH(1,('2024_Transactions'!$C$2:$C$339='2024_Roster_Offseason'!$I93)*('2024_Roster_Offseason'!$A93='2024_Transactions'!$B$2:$B$339),0))</f>
        <v>#N/A</v>
      </c>
      <c r="P93" s="11">
        <f t="array" ref="P93">INDEX('2024_Draft_team'!$J$2:$J$271,MATCH(1,('2024_Roster_Offseason'!$I93='2024_Draft_team'!$Q$2:$Q$271)*('2024_Roster_Offseason'!$A93='2024_Draft_team'!$B$2:$B$271),0))</f>
        <v>1</v>
      </c>
      <c r="Q93" s="12" t="s">
        <v>34</v>
      </c>
    </row>
    <row r="94" ht="14.25" customHeight="1">
      <c r="A94" s="2" t="s">
        <v>4</v>
      </c>
      <c r="B94" s="2" t="s">
        <v>29</v>
      </c>
      <c r="C94" s="2" t="s">
        <v>245</v>
      </c>
      <c r="D94" s="2" t="s">
        <v>246</v>
      </c>
      <c r="E94" s="2" t="s">
        <v>29</v>
      </c>
      <c r="F94" s="2" t="s">
        <v>32</v>
      </c>
      <c r="G94" s="2" t="s">
        <v>141</v>
      </c>
      <c r="H94" s="2"/>
      <c r="I94" s="2" t="str">
        <f>'2024_Roster_Offseason'!$C94&amp;'2024_Roster_Offseason'!$D94</f>
        <v>JaredGoff</v>
      </c>
      <c r="J94" s="7">
        <v>0.99</v>
      </c>
      <c r="K94" s="7">
        <v>0.69</v>
      </c>
      <c r="L94" s="2">
        <v>0.0</v>
      </c>
      <c r="M94" s="2">
        <v>44.47</v>
      </c>
      <c r="N94" s="2">
        <v>0.0</v>
      </c>
      <c r="O94" s="2" t="str">
        <f t="array" ref="O94">INDEX('2024_Transactions'!$J$2:$J$339,MATCH(1,('2024_Transactions'!$C$2:$C$339='2024_Roster_Offseason'!$I94)*('2024_Roster_Offseason'!$A94='2024_Transactions'!$B$2:$B$339),0))</f>
        <v>#N/A</v>
      </c>
      <c r="P94" s="8" t="str">
        <f t="array" ref="P94">INDEX('2024_Draft_team'!$J$2:$J$271,MATCH(1,('2024_Roster_Offseason'!$I94='2024_Draft_team'!$Q$2:$Q$271)*('2024_Roster_Offseason'!$A94='2024_Draft_team'!$B$2:$B$271),0))</f>
        <v>N/A</v>
      </c>
      <c r="Q94" s="16" t="s">
        <v>34</v>
      </c>
    </row>
    <row r="95" ht="14.25" customHeight="1">
      <c r="A95" s="3" t="s">
        <v>4</v>
      </c>
      <c r="B95" s="3" t="s">
        <v>29</v>
      </c>
      <c r="C95" s="3" t="s">
        <v>247</v>
      </c>
      <c r="D95" s="3" t="s">
        <v>248</v>
      </c>
      <c r="E95" s="3" t="s">
        <v>29</v>
      </c>
      <c r="F95" s="3" t="s">
        <v>32</v>
      </c>
      <c r="G95" s="3" t="s">
        <v>238</v>
      </c>
      <c r="H95" s="3"/>
      <c r="I95" s="3" t="str">
        <f>'2024_Roster_Offseason'!$C95&amp;'2024_Roster_Offseason'!$D95</f>
        <v>BakerMayfield</v>
      </c>
      <c r="J95" s="10">
        <v>0.98</v>
      </c>
      <c r="K95" s="10">
        <v>0.67</v>
      </c>
      <c r="L95" s="3">
        <v>0.0</v>
      </c>
      <c r="M95" s="3">
        <v>51.18</v>
      </c>
      <c r="N95" s="3">
        <v>0.0</v>
      </c>
      <c r="O95" s="3" t="str">
        <f t="array" ref="O95">INDEX('2024_Transactions'!$J$2:$J$339,MATCH(1,('2024_Transactions'!$C$2:$C$339='2024_Roster_Offseason'!$I95)*('2024_Roster_Offseason'!$A95='2024_Transactions'!$B$2:$B$339),0))</f>
        <v>#N/A</v>
      </c>
      <c r="P95" s="11">
        <f t="array" ref="P95">INDEX('2024_Draft_team'!$J$2:$J$271,MATCH(1,('2024_Roster_Offseason'!$I95='2024_Draft_team'!$Q$2:$Q$271)*('2024_Roster_Offseason'!$A95='2024_Draft_team'!$B$2:$B$271),0))</f>
        <v>10</v>
      </c>
      <c r="Q95" s="15" t="s">
        <v>38</v>
      </c>
    </row>
    <row r="96" ht="14.25" customHeight="1">
      <c r="A96" s="2" t="s">
        <v>4</v>
      </c>
      <c r="B96" s="2" t="s">
        <v>39</v>
      </c>
      <c r="C96" s="2" t="s">
        <v>249</v>
      </c>
      <c r="D96" s="2" t="s">
        <v>250</v>
      </c>
      <c r="E96" s="2" t="s">
        <v>39</v>
      </c>
      <c r="F96" s="2" t="s">
        <v>32</v>
      </c>
      <c r="G96" s="2" t="s">
        <v>179</v>
      </c>
      <c r="H96" s="2"/>
      <c r="I96" s="2" t="str">
        <f>'2024_Roster_Offseason'!$C96&amp;'2024_Roster_Offseason'!$D96</f>
        <v>DerrickHenry</v>
      </c>
      <c r="J96" s="7">
        <v>1.0</v>
      </c>
      <c r="K96" s="7">
        <v>0.91</v>
      </c>
      <c r="L96" s="2">
        <v>0.0</v>
      </c>
      <c r="M96" s="2">
        <v>39.18</v>
      </c>
      <c r="N96" s="2">
        <v>0.0</v>
      </c>
      <c r="O96" s="2" t="str">
        <f t="array" ref="O96">INDEX('2024_Transactions'!$J$2:$J$339,MATCH(1,('2024_Transactions'!$C$2:$C$339='2024_Roster_Offseason'!$I96)*('2024_Roster_Offseason'!$A96='2024_Transactions'!$B$2:$B$339),0))</f>
        <v>#N/A</v>
      </c>
      <c r="P96" s="8" t="str">
        <f t="array" ref="P96">INDEX('2024_Draft_team'!$J$2:$J$271,MATCH(1,('2024_Roster_Offseason'!$I96='2024_Draft_team'!$Q$2:$Q$271)*('2024_Roster_Offseason'!$A96='2024_Draft_team'!$B$2:$B$271),0))</f>
        <v>N/A</v>
      </c>
      <c r="Q96" s="16" t="s">
        <v>34</v>
      </c>
    </row>
    <row r="97" ht="14.25" customHeight="1">
      <c r="A97" s="3" t="s">
        <v>4</v>
      </c>
      <c r="B97" s="3" t="s">
        <v>39</v>
      </c>
      <c r="C97" s="3" t="s">
        <v>251</v>
      </c>
      <c r="D97" s="3" t="s">
        <v>102</v>
      </c>
      <c r="E97" s="3" t="s">
        <v>39</v>
      </c>
      <c r="F97" s="3" t="s">
        <v>32</v>
      </c>
      <c r="G97" s="3" t="s">
        <v>79</v>
      </c>
      <c r="H97" s="3"/>
      <c r="I97" s="3" t="str">
        <f>'2024_Roster_Offseason'!$C97&amp;'2024_Roster_Offseason'!$D97</f>
        <v>AaronJones</v>
      </c>
      <c r="J97" s="10">
        <v>1.0</v>
      </c>
      <c r="K97" s="10">
        <v>0.88</v>
      </c>
      <c r="L97" s="3">
        <v>0.0</v>
      </c>
      <c r="M97" s="3">
        <v>22.47</v>
      </c>
      <c r="N97" s="3">
        <v>0.0</v>
      </c>
      <c r="O97" s="3" t="str">
        <f t="array" ref="O97">INDEX('2024_Transactions'!$J$2:$J$339,MATCH(1,('2024_Transactions'!$C$2:$C$339='2024_Roster_Offseason'!$I97)*('2024_Roster_Offseason'!$A97='2024_Transactions'!$B$2:$B$339),0))</f>
        <v>#N/A</v>
      </c>
      <c r="P97" s="11">
        <f t="array" ref="P97">INDEX('2024_Draft_team'!$J$2:$J$271,MATCH(1,('2024_Roster_Offseason'!$I97='2024_Draft_team'!$Q$2:$Q$271)*('2024_Roster_Offseason'!$A97='2024_Draft_team'!$B$2:$B$271),0))</f>
        <v>1</v>
      </c>
      <c r="Q97" s="15" t="s">
        <v>34</v>
      </c>
    </row>
    <row r="98" ht="14.25" customHeight="1">
      <c r="A98" s="2" t="s">
        <v>4</v>
      </c>
      <c r="B98" s="2" t="s">
        <v>46</v>
      </c>
      <c r="C98" s="2" t="s">
        <v>252</v>
      </c>
      <c r="D98" s="2" t="s">
        <v>253</v>
      </c>
      <c r="E98" s="2" t="s">
        <v>131</v>
      </c>
      <c r="F98" s="2" t="s">
        <v>46</v>
      </c>
      <c r="G98" s="2" t="s">
        <v>32</v>
      </c>
      <c r="H98" s="2" t="s">
        <v>213</v>
      </c>
      <c r="I98" s="2" t="str">
        <f>'2024_Roster_Offseason'!$C98&amp;'2024_Roster_Offseason'!$D98&amp;'2024_Roster_Offseason'!$E98</f>
        <v>MarvinHarrisonJr.</v>
      </c>
      <c r="J98" s="7">
        <v>0.99</v>
      </c>
      <c r="K98" s="7">
        <v>0.71</v>
      </c>
      <c r="L98" s="2">
        <v>0.0</v>
      </c>
      <c r="M98" s="2">
        <v>19.35</v>
      </c>
      <c r="N98" s="2">
        <v>0.0</v>
      </c>
      <c r="O98" s="2" t="str">
        <f t="array" ref="O98">INDEX('2024_Transactions'!$J$2:$J$339,MATCH(1,('2024_Transactions'!$C$2:$C$339='2024_Roster_Offseason'!$I98)*('2024_Roster_Offseason'!$A98='2024_Transactions'!$B$2:$B$339),0))</f>
        <v>#N/A</v>
      </c>
      <c r="P98" s="8">
        <f t="array" ref="P98">INDEX('2024_Draft_team'!$J$2:$J$271,MATCH(1,('2024_Roster_Offseason'!$I98='2024_Draft_team'!$Q$2:$Q$271)*('2024_Roster_Offseason'!$A98='2024_Draft_team'!$B$2:$B$271),0))</f>
        <v>2</v>
      </c>
      <c r="Q98" s="16" t="s">
        <v>34</v>
      </c>
    </row>
    <row r="99" ht="14.25" customHeight="1">
      <c r="A99" s="3" t="s">
        <v>4</v>
      </c>
      <c r="B99" s="3" t="s">
        <v>46</v>
      </c>
      <c r="C99" s="3" t="s">
        <v>254</v>
      </c>
      <c r="D99" s="3" t="s">
        <v>255</v>
      </c>
      <c r="E99" s="3" t="s">
        <v>46</v>
      </c>
      <c r="F99" s="3" t="s">
        <v>32</v>
      </c>
      <c r="G99" s="3" t="s">
        <v>90</v>
      </c>
      <c r="H99" s="3"/>
      <c r="I99" s="3" t="str">
        <f>'2024_Roster_Offseason'!$C99&amp;'2024_Roster_Offseason'!$D99</f>
        <v>TravisKelce</v>
      </c>
      <c r="J99" s="10">
        <v>1.0</v>
      </c>
      <c r="K99" s="10">
        <v>0.85</v>
      </c>
      <c r="L99" s="3">
        <v>14.0</v>
      </c>
      <c r="M99" s="3">
        <v>23.06</v>
      </c>
      <c r="N99" s="3">
        <v>0.0</v>
      </c>
      <c r="O99" s="3" t="str">
        <f t="array" ref="O99">INDEX('2024_Transactions'!$J$2:$J$339,MATCH(1,('2024_Transactions'!$C$2:$C$339='2024_Roster_Offseason'!$I99)*('2024_Roster_Offseason'!$A99='2024_Transactions'!$B$2:$B$339),0))</f>
        <v>#N/A</v>
      </c>
      <c r="P99" s="11" t="str">
        <f t="array" ref="P99">INDEX('2024_Draft_team'!$J$2:$J$271,MATCH(1,('2024_Roster_Offseason'!$I99='2024_Draft_team'!$Q$2:$Q$271)*('2024_Roster_Offseason'!$A99='2024_Draft_team'!$B$2:$B$271),0))</f>
        <v>N/A</v>
      </c>
      <c r="Q99" s="15" t="s">
        <v>34</v>
      </c>
    </row>
    <row r="100" ht="14.25" customHeight="1">
      <c r="A100" s="2" t="s">
        <v>4</v>
      </c>
      <c r="B100" s="2" t="s">
        <v>46</v>
      </c>
      <c r="C100" s="2" t="s">
        <v>256</v>
      </c>
      <c r="D100" s="2" t="s">
        <v>257</v>
      </c>
      <c r="E100" s="2" t="s">
        <v>46</v>
      </c>
      <c r="F100" s="2" t="s">
        <v>32</v>
      </c>
      <c r="G100" s="2" t="s">
        <v>103</v>
      </c>
      <c r="H100" s="2"/>
      <c r="I100" s="2" t="str">
        <f>'2024_Roster_Offseason'!$C100&amp;'2024_Roster_Offseason'!$D100</f>
        <v>CourtlandSutton</v>
      </c>
      <c r="J100" s="7">
        <v>0.98</v>
      </c>
      <c r="K100" s="7">
        <v>0.75</v>
      </c>
      <c r="L100" s="2">
        <v>0.0</v>
      </c>
      <c r="M100" s="2">
        <v>24.41</v>
      </c>
      <c r="N100" s="2">
        <v>0.0</v>
      </c>
      <c r="O100" s="2" t="str">
        <f t="array" ref="O100">INDEX('2024_Transactions'!$J$2:$J$339,MATCH(1,('2024_Transactions'!$C$2:$C$339='2024_Roster_Offseason'!$I100)*('2024_Roster_Offseason'!$A100='2024_Transactions'!$B$2:$B$339),0))</f>
        <v>#N/A</v>
      </c>
      <c r="P100" s="8">
        <f t="array" ref="P100">INDEX('2024_Draft_team'!$J$2:$J$271,MATCH(1,('2024_Roster_Offseason'!$I100='2024_Draft_team'!$Q$2:$Q$271)*('2024_Roster_Offseason'!$A100='2024_Draft_team'!$B$2:$B$271),0))</f>
        <v>21</v>
      </c>
      <c r="Q100" s="16" t="s">
        <v>38</v>
      </c>
    </row>
    <row r="101" ht="14.25" customHeight="1">
      <c r="A101" s="3" t="s">
        <v>4</v>
      </c>
      <c r="B101" s="3" t="s">
        <v>55</v>
      </c>
      <c r="C101" s="3" t="s">
        <v>258</v>
      </c>
      <c r="D101" s="3" t="s">
        <v>61</v>
      </c>
      <c r="E101" s="3" t="s">
        <v>55</v>
      </c>
      <c r="F101" s="3" t="s">
        <v>32</v>
      </c>
      <c r="G101" s="3" t="s">
        <v>141</v>
      </c>
      <c r="H101" s="3"/>
      <c r="I101" s="3" t="str">
        <f>'2024_Roster_Offseason'!$C101&amp;'2024_Roster_Offseason'!$D101</f>
        <v>JakeBates</v>
      </c>
      <c r="J101" s="10">
        <v>0.98</v>
      </c>
      <c r="K101" s="10">
        <v>0.92</v>
      </c>
      <c r="L101" s="3">
        <v>0.0</v>
      </c>
      <c r="M101" s="3">
        <v>20.18</v>
      </c>
      <c r="N101" s="3">
        <v>0.0</v>
      </c>
      <c r="O101" s="3" t="str">
        <f t="array" ref="O101">INDEX('2024_Transactions'!$J$2:$J$339,MATCH(1,('2024_Transactions'!$C$2:$C$339='2024_Roster_Offseason'!$I101)*('2024_Roster_Offseason'!$A101='2024_Transactions'!$B$2:$B$339),0))</f>
        <v>Signed</v>
      </c>
      <c r="P101" s="13">
        <f t="array" ref="P101">IFERROR(INDEX('2024_Draft_team'!$J$2:$J$271,MATCH(1,('2024_Roster_Offseason'!$I101='2024_Draft_team'!$Q$2:$Q$271)*('2024_Roster_Offseason'!$A101='2024_Draft_team'!$B$2:$B$271),0)),15)</f>
        <v>15</v>
      </c>
      <c r="Q101" s="15" t="s">
        <v>34</v>
      </c>
    </row>
    <row r="102" ht="14.25" customHeight="1">
      <c r="A102" s="2" t="s">
        <v>4</v>
      </c>
      <c r="B102" s="2" t="s">
        <v>59</v>
      </c>
      <c r="C102" s="2" t="s">
        <v>259</v>
      </c>
      <c r="D102" s="2" t="s">
        <v>260</v>
      </c>
      <c r="E102" s="2" t="s">
        <v>59</v>
      </c>
      <c r="F102" s="2" t="s">
        <v>32</v>
      </c>
      <c r="G102" s="2" t="s">
        <v>54</v>
      </c>
      <c r="H102" s="2"/>
      <c r="I102" s="2" t="str">
        <f>'2024_Roster_Offseason'!$C102&amp;'2024_Roster_Offseason'!$D102</f>
        <v>JoeyBosa</v>
      </c>
      <c r="J102" s="7">
        <v>0.56</v>
      </c>
      <c r="K102" s="7">
        <v>0.39</v>
      </c>
      <c r="L102" s="2">
        <v>0.0</v>
      </c>
      <c r="M102" s="2">
        <v>9.57</v>
      </c>
      <c r="N102" s="2">
        <v>0.0</v>
      </c>
      <c r="O102" s="2" t="str">
        <f t="array" ref="O102">INDEX('2024_Transactions'!$J$2:$J$339,MATCH(1,('2024_Transactions'!$C$2:$C$339='2024_Roster_Offseason'!$I102)*('2024_Roster_Offseason'!$A102='2024_Transactions'!$B$2:$B$339),0))</f>
        <v>#N/A</v>
      </c>
      <c r="P102" s="8">
        <f t="array" ref="P102">INDEX('2024_Draft_team'!$J$2:$J$271,MATCH(1,('2024_Roster_Offseason'!$I102='2024_Draft_team'!$Q$2:$Q$271)*('2024_Roster_Offseason'!$A102='2024_Draft_team'!$B$2:$B$271),0))</f>
        <v>18</v>
      </c>
      <c r="Q102" s="16" t="s">
        <v>34</v>
      </c>
    </row>
    <row r="103" ht="14.25" customHeight="1">
      <c r="A103" s="3" t="s">
        <v>4</v>
      </c>
      <c r="B103" s="3" t="s">
        <v>59</v>
      </c>
      <c r="C103" s="3" t="s">
        <v>261</v>
      </c>
      <c r="D103" s="3" t="s">
        <v>262</v>
      </c>
      <c r="E103" s="3" t="s">
        <v>59</v>
      </c>
      <c r="F103" s="3" t="s">
        <v>32</v>
      </c>
      <c r="G103" s="3" t="s">
        <v>136</v>
      </c>
      <c r="H103" s="3"/>
      <c r="I103" s="3" t="str">
        <f>'2024_Roster_Offseason'!$C103&amp;'2024_Roster_Offseason'!$D103</f>
        <v>KamrenCurl</v>
      </c>
      <c r="J103" s="10">
        <v>0.5</v>
      </c>
      <c r="K103" s="10">
        <v>0.34</v>
      </c>
      <c r="L103" s="3">
        <v>0.0</v>
      </c>
      <c r="M103" s="3">
        <v>15.06</v>
      </c>
      <c r="N103" s="3">
        <v>0.0</v>
      </c>
      <c r="O103" s="3" t="str">
        <f t="array" ref="O103">INDEX('2024_Transactions'!$J$2:$J$339,MATCH(1,('2024_Transactions'!$C$2:$C$339='2024_Roster_Offseason'!$I103)*('2024_Roster_Offseason'!$A103='2024_Transactions'!$B$2:$B$339),0))</f>
        <v>#N/A</v>
      </c>
      <c r="P103" s="11">
        <f t="array" ref="P103">INDEX('2024_Draft_team'!$J$2:$J$271,MATCH(1,('2024_Roster_Offseason'!$I103='2024_Draft_team'!$Q$2:$Q$271)*('2024_Roster_Offseason'!$A103='2024_Draft_team'!$B$2:$B$271),0))</f>
        <v>12</v>
      </c>
      <c r="Q103" s="15" t="s">
        <v>34</v>
      </c>
    </row>
    <row r="104" ht="14.25" customHeight="1">
      <c r="A104" s="2" t="s">
        <v>4</v>
      </c>
      <c r="B104" s="2" t="s">
        <v>59</v>
      </c>
      <c r="C104" s="2" t="s">
        <v>263</v>
      </c>
      <c r="D104" s="2" t="s">
        <v>264</v>
      </c>
      <c r="E104" s="2" t="s">
        <v>59</v>
      </c>
      <c r="F104" s="2" t="s">
        <v>32</v>
      </c>
      <c r="G104" s="2" t="s">
        <v>238</v>
      </c>
      <c r="H104" s="2"/>
      <c r="I104" s="2" t="str">
        <f>'2024_Roster_Offseason'!$C104&amp;'2024_Roster_Offseason'!$D104</f>
        <v>LavonteDavid</v>
      </c>
      <c r="J104" s="7">
        <v>0.97</v>
      </c>
      <c r="K104" s="7">
        <v>0.87</v>
      </c>
      <c r="L104" s="2">
        <v>0.0</v>
      </c>
      <c r="M104" s="2">
        <v>23.71</v>
      </c>
      <c r="N104" s="2">
        <v>0.0</v>
      </c>
      <c r="O104" s="2" t="str">
        <f t="array" ref="O104">INDEX('2024_Transactions'!$J$2:$J$339,MATCH(1,('2024_Transactions'!$C$2:$C$339='2024_Roster_Offseason'!$I104)*('2024_Roster_Offseason'!$A104='2024_Transactions'!$B$2:$B$339),0))</f>
        <v>#N/A</v>
      </c>
      <c r="P104" s="8">
        <f t="array" ref="P104">INDEX('2024_Draft_team'!$J$2:$J$271,MATCH(1,('2024_Roster_Offseason'!$I104='2024_Draft_team'!$Q$2:$Q$271)*('2024_Roster_Offseason'!$A104='2024_Draft_team'!$B$2:$B$271),0))</f>
        <v>7</v>
      </c>
      <c r="Q104" s="16" t="s">
        <v>38</v>
      </c>
    </row>
    <row r="105" ht="14.25" customHeight="1">
      <c r="A105" s="3" t="s">
        <v>4</v>
      </c>
      <c r="B105" s="3" t="s">
        <v>59</v>
      </c>
      <c r="C105" s="3" t="s">
        <v>265</v>
      </c>
      <c r="D105" s="3" t="s">
        <v>266</v>
      </c>
      <c r="E105" s="3" t="s">
        <v>59</v>
      </c>
      <c r="F105" s="3" t="s">
        <v>32</v>
      </c>
      <c r="G105" s="3" t="s">
        <v>93</v>
      </c>
      <c r="H105" s="3"/>
      <c r="I105" s="3" t="str">
        <f>'2024_Roster_Offseason'!$C105&amp;'2024_Roster_Offseason'!$D105</f>
        <v>TaronJohnson</v>
      </c>
      <c r="J105" s="10">
        <v>0.2</v>
      </c>
      <c r="K105" s="10">
        <v>0.14</v>
      </c>
      <c r="L105" s="3">
        <v>0.0</v>
      </c>
      <c r="M105" s="3">
        <v>20.92</v>
      </c>
      <c r="N105" s="3">
        <v>0.0</v>
      </c>
      <c r="O105" s="3" t="str">
        <f t="array" ref="O105">INDEX('2024_Transactions'!$J$2:$J$339,MATCH(1,('2024_Transactions'!$C$2:$C$339='2024_Roster_Offseason'!$I105)*('2024_Roster_Offseason'!$A105='2024_Transactions'!$B$2:$B$339),0))</f>
        <v>Signed</v>
      </c>
      <c r="P105" s="13">
        <f t="array" ref="P105">IFERROR(INDEX('2024_Draft_team'!$J$2:$J$271,MATCH(1,('2024_Roster_Offseason'!$I105='2024_Draft_team'!$Q$2:$Q$271)*('2024_Roster_Offseason'!$A105='2024_Draft_team'!$B$2:$B$271),0)),15)</f>
        <v>15</v>
      </c>
      <c r="Q105" s="15" t="s">
        <v>34</v>
      </c>
    </row>
    <row r="106" ht="14.25" customHeight="1">
      <c r="A106" s="2" t="s">
        <v>4</v>
      </c>
      <c r="B106" s="2" t="s">
        <v>59</v>
      </c>
      <c r="C106" s="2" t="s">
        <v>194</v>
      </c>
      <c r="D106" s="2" t="s">
        <v>267</v>
      </c>
      <c r="E106" s="2" t="s">
        <v>59</v>
      </c>
      <c r="F106" s="2" t="s">
        <v>32</v>
      </c>
      <c r="G106" s="2" t="s">
        <v>90</v>
      </c>
      <c r="H106" s="2"/>
      <c r="I106" s="2" t="str">
        <f>'2024_Roster_Offseason'!$C106&amp;'2024_Roster_Offseason'!$D106</f>
        <v>JustinReid</v>
      </c>
      <c r="J106" s="7">
        <v>0.3</v>
      </c>
      <c r="K106" s="7">
        <v>0.21</v>
      </c>
      <c r="L106" s="2">
        <v>17.0</v>
      </c>
      <c r="M106" s="2">
        <v>19.88</v>
      </c>
      <c r="N106" s="2">
        <v>0.0</v>
      </c>
      <c r="O106" s="2" t="str">
        <f t="array" ref="O106">INDEX('2024_Transactions'!$J$2:$J$339,MATCH(1,('2024_Transactions'!$C$2:$C$339='2024_Roster_Offseason'!$I106)*('2024_Roster_Offseason'!$A106='2024_Transactions'!$B$2:$B$339),0))</f>
        <v>#N/A</v>
      </c>
      <c r="P106" s="8">
        <f t="array" ref="P106">INDEX('2024_Draft_team'!$J$2:$J$271,MATCH(1,('2024_Roster_Offseason'!$I106='2024_Draft_team'!$Q$2:$Q$271)*('2024_Roster_Offseason'!$A106='2024_Draft_team'!$B$2:$B$271),0))</f>
        <v>24</v>
      </c>
      <c r="Q106" s="16" t="s">
        <v>34</v>
      </c>
    </row>
    <row r="107" ht="14.25" customHeight="1">
      <c r="A107" s="3" t="s">
        <v>4</v>
      </c>
      <c r="B107" s="3" t="s">
        <v>59</v>
      </c>
      <c r="C107" s="3" t="s">
        <v>122</v>
      </c>
      <c r="D107" s="3" t="s">
        <v>268</v>
      </c>
      <c r="E107" s="3" t="s">
        <v>59</v>
      </c>
      <c r="F107" s="3" t="s">
        <v>32</v>
      </c>
      <c r="G107" s="3" t="s">
        <v>213</v>
      </c>
      <c r="H107" s="3"/>
      <c r="I107" s="3" t="str">
        <f>'2024_Roster_Offseason'!$C107&amp;'2024_Roster_Offseason'!$D107</f>
        <v>JalenThompson</v>
      </c>
      <c r="J107" s="10">
        <v>0.21</v>
      </c>
      <c r="K107" s="10">
        <v>0.12</v>
      </c>
      <c r="L107" s="3">
        <v>0.0</v>
      </c>
      <c r="M107" s="3">
        <v>15.73</v>
      </c>
      <c r="N107" s="3">
        <v>0.0</v>
      </c>
      <c r="O107" s="3" t="str">
        <f t="array" ref="O107">INDEX('2024_Transactions'!$J$2:$J$339,MATCH(1,('2024_Transactions'!$C$2:$C$339='2024_Roster_Offseason'!$I107)*('2024_Roster_Offseason'!$A107='2024_Transactions'!$B$2:$B$339),0))</f>
        <v>#N/A</v>
      </c>
      <c r="P107" s="11">
        <f t="array" ref="P107">INDEX('2024_Draft_team'!$J$2:$J$271,MATCH(1,('2024_Roster_Offseason'!$I107='2024_Draft_team'!$Q$2:$Q$271)*('2024_Roster_Offseason'!$A107='2024_Draft_team'!$B$2:$B$271),0))</f>
        <v>26</v>
      </c>
      <c r="Q107" s="15" t="s">
        <v>34</v>
      </c>
    </row>
    <row r="108" ht="14.25" customHeight="1">
      <c r="A108" s="2" t="s">
        <v>4</v>
      </c>
      <c r="B108" s="2" t="s">
        <v>59</v>
      </c>
      <c r="C108" s="2" t="s">
        <v>269</v>
      </c>
      <c r="D108" s="2" t="s">
        <v>270</v>
      </c>
      <c r="E108" s="2" t="s">
        <v>59</v>
      </c>
      <c r="F108" s="2" t="s">
        <v>32</v>
      </c>
      <c r="G108" s="2" t="s">
        <v>90</v>
      </c>
      <c r="H108" s="2"/>
      <c r="I108" s="2" t="str">
        <f>'2024_Roster_Offseason'!$C108&amp;'2024_Roster_Offseason'!$D108</f>
        <v>DrueTranquill</v>
      </c>
      <c r="J108" s="7">
        <v>0.22</v>
      </c>
      <c r="K108" s="7">
        <v>0.13</v>
      </c>
      <c r="L108" s="2">
        <v>39.0</v>
      </c>
      <c r="M108" s="2">
        <v>18.88</v>
      </c>
      <c r="N108" s="2">
        <v>0.0</v>
      </c>
      <c r="O108" s="2" t="str">
        <f t="array" ref="O108">INDEX('2024_Transactions'!$J$2:$J$339,MATCH(1,('2024_Transactions'!$C$2:$C$339='2024_Roster_Offseason'!$I108)*('2024_Roster_Offseason'!$A108='2024_Transactions'!$B$2:$B$339),0))</f>
        <v>#N/A</v>
      </c>
      <c r="P108" s="8">
        <f t="array" ref="P108">INDEX('2024_Draft_team'!$J$2:$J$271,MATCH(1,('2024_Roster_Offseason'!$I108='2024_Draft_team'!$Q$2:$Q$271)*('2024_Roster_Offseason'!$A108='2024_Draft_team'!$B$2:$B$271),0))</f>
        <v>2</v>
      </c>
      <c r="Q108" s="16" t="s">
        <v>34</v>
      </c>
    </row>
    <row r="109" ht="14.25" customHeight="1">
      <c r="A109" s="3" t="s">
        <v>4</v>
      </c>
      <c r="B109" s="3" t="s">
        <v>29</v>
      </c>
      <c r="C109" s="3" t="s">
        <v>251</v>
      </c>
      <c r="D109" s="3" t="s">
        <v>271</v>
      </c>
      <c r="E109" s="3" t="s">
        <v>29</v>
      </c>
      <c r="F109" s="3" t="s">
        <v>32</v>
      </c>
      <c r="G109" s="3" t="s">
        <v>49</v>
      </c>
      <c r="H109" s="3"/>
      <c r="I109" s="3" t="str">
        <f>'2024_Roster_Offseason'!$C109&amp;'2024_Roster_Offseason'!$D109</f>
        <v>AaronRodgers</v>
      </c>
      <c r="J109" s="10">
        <v>0.51</v>
      </c>
      <c r="K109" s="10">
        <v>0.14</v>
      </c>
      <c r="L109" s="3">
        <v>0.0</v>
      </c>
      <c r="M109" s="3">
        <v>35.12</v>
      </c>
      <c r="N109" s="3">
        <v>0.0</v>
      </c>
      <c r="O109" s="3" t="str">
        <f t="array" ref="O109">INDEX('2024_Transactions'!$J$2:$J$339,MATCH(1,('2024_Transactions'!$C$2:$C$339='2024_Roster_Offseason'!$I109)*('2024_Roster_Offseason'!$A109='2024_Transactions'!$B$2:$B$339),0))</f>
        <v>#N/A</v>
      </c>
      <c r="P109" s="11">
        <f t="array" ref="P109">INDEX('2024_Draft_team'!$J$2:$J$271,MATCH(1,('2024_Roster_Offseason'!$I109='2024_Draft_team'!$Q$2:$Q$271)*('2024_Roster_Offseason'!$A109='2024_Draft_team'!$B$2:$B$271),0))</f>
        <v>11</v>
      </c>
      <c r="Q109" s="15" t="s">
        <v>34</v>
      </c>
    </row>
    <row r="110" ht="14.25" customHeight="1">
      <c r="A110" s="2" t="s">
        <v>4</v>
      </c>
      <c r="B110" s="2" t="s">
        <v>39</v>
      </c>
      <c r="C110" s="2" t="s">
        <v>272</v>
      </c>
      <c r="D110" s="2" t="s">
        <v>273</v>
      </c>
      <c r="E110" s="2" t="s">
        <v>39</v>
      </c>
      <c r="F110" s="2" t="s">
        <v>32</v>
      </c>
      <c r="G110" s="2" t="s">
        <v>54</v>
      </c>
      <c r="H110" s="2"/>
      <c r="I110" s="2" t="str">
        <f>'2024_Roster_Offseason'!$C110&amp;'2024_Roster_Offseason'!$D110</f>
        <v>GusEdwards</v>
      </c>
      <c r="J110" s="7">
        <v>0.57</v>
      </c>
      <c r="K110" s="7">
        <v>0.09</v>
      </c>
      <c r="L110" s="2">
        <v>0.0</v>
      </c>
      <c r="M110" s="2">
        <v>9.73</v>
      </c>
      <c r="N110" s="2">
        <v>0.0</v>
      </c>
      <c r="O110" s="2" t="str">
        <f t="array" ref="O110">INDEX('2024_Transactions'!$J$2:$J$339,MATCH(1,('2024_Transactions'!$C$2:$C$339='2024_Roster_Offseason'!$I110)*('2024_Roster_Offseason'!$A110='2024_Transactions'!$B$2:$B$339),0))</f>
        <v>Signed</v>
      </c>
      <c r="P110" s="14">
        <f t="array" ref="P110">IFERROR(INDEX('2024_Draft_team'!$J$2:$J$271,MATCH(1,('2024_Roster_Offseason'!$I110='2024_Draft_team'!$Q$2:$Q$271)*('2024_Roster_Offseason'!$A110='2024_Draft_team'!$B$2:$B$271),0)),15)</f>
        <v>15</v>
      </c>
      <c r="Q110" s="16" t="s">
        <v>34</v>
      </c>
    </row>
    <row r="111" ht="14.25" customHeight="1">
      <c r="A111" s="3" t="s">
        <v>4</v>
      </c>
      <c r="B111" s="3" t="s">
        <v>39</v>
      </c>
      <c r="C111" s="3" t="s">
        <v>274</v>
      </c>
      <c r="D111" s="3" t="s">
        <v>275</v>
      </c>
      <c r="E111" s="3" t="s">
        <v>39</v>
      </c>
      <c r="F111" s="3" t="s">
        <v>32</v>
      </c>
      <c r="G111" s="3" t="s">
        <v>71</v>
      </c>
      <c r="H111" s="3"/>
      <c r="I111" s="3" t="str">
        <f>'2024_Roster_Offseason'!$C111&amp;'2024_Roster_Offseason'!$D111</f>
        <v>TonyPollard</v>
      </c>
      <c r="J111" s="10">
        <v>0.97</v>
      </c>
      <c r="K111" s="10">
        <v>0.5</v>
      </c>
      <c r="L111" s="3">
        <v>0.0</v>
      </c>
      <c r="M111" s="3">
        <v>19.81</v>
      </c>
      <c r="N111" s="3">
        <v>0.0</v>
      </c>
      <c r="O111" s="3" t="str">
        <f t="array" ref="O111">INDEX('2024_Transactions'!$J$2:$J$339,MATCH(1,('2024_Transactions'!$C$2:$C$339='2024_Roster_Offseason'!$I111)*('2024_Roster_Offseason'!$A111='2024_Transactions'!$B$2:$B$339),0))</f>
        <v>#N/A</v>
      </c>
      <c r="P111" s="11">
        <f t="array" ref="P111">INDEX('2024_Draft_team'!$J$2:$J$271,MATCH(1,('2024_Roster_Offseason'!$I111='2024_Draft_team'!$Q$2:$Q$271)*('2024_Roster_Offseason'!$A111='2024_Draft_team'!$B$2:$B$271),0))</f>
        <v>10</v>
      </c>
      <c r="Q111" s="15" t="s">
        <v>34</v>
      </c>
    </row>
    <row r="112" ht="14.25" customHeight="1">
      <c r="A112" s="2" t="s">
        <v>4</v>
      </c>
      <c r="B112" s="2" t="s">
        <v>46</v>
      </c>
      <c r="C112" s="2" t="s">
        <v>276</v>
      </c>
      <c r="D112" s="2" t="s">
        <v>277</v>
      </c>
      <c r="E112" s="2" t="s">
        <v>46</v>
      </c>
      <c r="F112" s="2" t="s">
        <v>32</v>
      </c>
      <c r="G112" s="2" t="s">
        <v>124</v>
      </c>
      <c r="H112" s="2"/>
      <c r="I112" s="2" t="str">
        <f>'2024_Roster_Offseason'!$C112&amp;'2024_Roster_Offseason'!$D112</f>
        <v>DallasGoedert</v>
      </c>
      <c r="J112" s="7">
        <v>0.48</v>
      </c>
      <c r="K112" s="7">
        <v>0.06</v>
      </c>
      <c r="L112" s="2">
        <v>9.0</v>
      </c>
      <c r="M112" s="2">
        <v>24.5</v>
      </c>
      <c r="N112" s="2">
        <v>0.0</v>
      </c>
      <c r="O112" s="2" t="str">
        <f t="array" ref="O112">INDEX('2024_Transactions'!$J$2:$J$339,MATCH(1,('2024_Transactions'!$C$2:$C$339='2024_Roster_Offseason'!$I112)*('2024_Roster_Offseason'!$A112='2024_Transactions'!$B$2:$B$339),0))</f>
        <v>Signed</v>
      </c>
      <c r="P112" s="14">
        <f t="array" ref="P112">IFERROR(INDEX('2024_Draft_team'!$J$2:$J$271,MATCH(1,('2024_Roster_Offseason'!$I112='2024_Draft_team'!$Q$2:$Q$271)*('2024_Roster_Offseason'!$A112='2024_Draft_team'!$B$2:$B$271),0)),15)</f>
        <v>15</v>
      </c>
      <c r="Q112" s="16" t="s">
        <v>34</v>
      </c>
    </row>
    <row r="113" ht="14.25" customHeight="1">
      <c r="A113" s="3" t="s">
        <v>4</v>
      </c>
      <c r="B113" s="3" t="s">
        <v>46</v>
      </c>
      <c r="C113" s="3" t="s">
        <v>278</v>
      </c>
      <c r="D113" s="3" t="s">
        <v>279</v>
      </c>
      <c r="E113" s="3" t="s">
        <v>46</v>
      </c>
      <c r="F113" s="3" t="s">
        <v>32</v>
      </c>
      <c r="G113" s="3" t="s">
        <v>79</v>
      </c>
      <c r="H113" s="3"/>
      <c r="I113" s="3" t="str">
        <f>'2024_Roster_Offseason'!$C113&amp;'2024_Roster_Offseason'!$D113</f>
        <v>T.J.Hockenson</v>
      </c>
      <c r="J113" s="10">
        <v>0.9</v>
      </c>
      <c r="K113" s="10">
        <v>0.54</v>
      </c>
      <c r="L113" s="3">
        <v>0.0</v>
      </c>
      <c r="M113" s="3">
        <v>17.3</v>
      </c>
      <c r="N113" s="3">
        <v>0.0</v>
      </c>
      <c r="O113" s="3" t="str">
        <f t="array" ref="O113">INDEX('2024_Transactions'!$J$2:$J$339,MATCH(1,('2024_Transactions'!$C$2:$C$339='2024_Roster_Offseason'!$I113)*('2024_Roster_Offseason'!$A113='2024_Transactions'!$B$2:$B$339),0))</f>
        <v>#N/A</v>
      </c>
      <c r="P113" s="11">
        <f t="array" ref="P113">INDEX('2024_Draft_team'!$J$2:$J$271,MATCH(1,('2024_Roster_Offseason'!$I113='2024_Draft_team'!$Q$2:$Q$271)*('2024_Roster_Offseason'!$A113='2024_Draft_team'!$B$2:$B$271),0))</f>
        <v>16</v>
      </c>
      <c r="Q113" s="15" t="s">
        <v>34</v>
      </c>
    </row>
    <row r="114" ht="14.25" customHeight="1">
      <c r="A114" s="2" t="s">
        <v>4</v>
      </c>
      <c r="B114" s="2" t="s">
        <v>46</v>
      </c>
      <c r="C114" s="2" t="s">
        <v>280</v>
      </c>
      <c r="D114" s="2" t="s">
        <v>281</v>
      </c>
      <c r="E114" s="2" t="s">
        <v>46</v>
      </c>
      <c r="F114" s="2" t="s">
        <v>32</v>
      </c>
      <c r="G114" s="2" t="s">
        <v>110</v>
      </c>
      <c r="H114" s="2"/>
      <c r="I114" s="2" t="str">
        <f>'2024_Roster_Offseason'!$C114&amp;'2024_Roster_Offseason'!$D114</f>
        <v>TylerLockett</v>
      </c>
      <c r="J114" s="7">
        <v>0.49</v>
      </c>
      <c r="K114" s="7">
        <v>0.07</v>
      </c>
      <c r="L114" s="2">
        <v>0.0</v>
      </c>
      <c r="M114" s="2">
        <v>12.35</v>
      </c>
      <c r="N114" s="2">
        <v>0.0</v>
      </c>
      <c r="O114" s="2" t="str">
        <f t="array" ref="O114">INDEX('2024_Transactions'!$J$2:$J$339,MATCH(1,('2024_Transactions'!$C$2:$C$339='2024_Roster_Offseason'!$I114)*('2024_Roster_Offseason'!$A114='2024_Transactions'!$B$2:$B$339),0))</f>
        <v>#N/A</v>
      </c>
      <c r="P114" s="8">
        <f t="array" ref="P114">INDEX('2024_Draft_team'!$J$2:$J$271,MATCH(1,('2024_Roster_Offseason'!$I114='2024_Draft_team'!$Q$2:$Q$271)*('2024_Roster_Offseason'!$A114='2024_Draft_team'!$B$2:$B$271),0))</f>
        <v>9</v>
      </c>
      <c r="Q114" s="16" t="s">
        <v>34</v>
      </c>
    </row>
    <row r="115" ht="14.25" customHeight="1">
      <c r="A115" s="3" t="s">
        <v>4</v>
      </c>
      <c r="B115" s="3" t="s">
        <v>46</v>
      </c>
      <c r="C115" s="3" t="s">
        <v>282</v>
      </c>
      <c r="D115" s="3" t="s">
        <v>283</v>
      </c>
      <c r="E115" s="3" t="s">
        <v>46</v>
      </c>
      <c r="F115" s="3" t="s">
        <v>32</v>
      </c>
      <c r="G115" s="3" t="s">
        <v>37</v>
      </c>
      <c r="H115" s="3"/>
      <c r="I115" s="3" t="str">
        <f>'2024_Roster_Offseason'!$C115&amp;'2024_Roster_Offseason'!$D115</f>
        <v>DeeboSamuel</v>
      </c>
      <c r="J115" s="10">
        <v>0.96</v>
      </c>
      <c r="K115" s="10">
        <v>0.46</v>
      </c>
      <c r="L115" s="3">
        <v>0.0</v>
      </c>
      <c r="M115" s="3">
        <v>17.13</v>
      </c>
      <c r="N115" s="3">
        <v>0.0</v>
      </c>
      <c r="O115" s="3" t="str">
        <f t="array" ref="O115">INDEX('2024_Transactions'!$J$2:$J$339,MATCH(1,('2024_Transactions'!$C$2:$C$339='2024_Roster_Offseason'!$I115)*('2024_Roster_Offseason'!$A115='2024_Transactions'!$B$2:$B$339),0))</f>
        <v>#N/A</v>
      </c>
      <c r="P115" s="11">
        <f t="array" ref="P115">INDEX('2024_Draft_team'!$J$2:$J$271,MATCH(1,('2024_Roster_Offseason'!$I115='2024_Draft_team'!$Q$2:$Q$271)*('2024_Roster_Offseason'!$A115='2024_Draft_team'!$B$2:$B$271),0))</f>
        <v>3</v>
      </c>
      <c r="Q115" s="15" t="s">
        <v>34</v>
      </c>
    </row>
    <row r="116" ht="14.25" customHeight="1">
      <c r="A116" s="2" t="s">
        <v>4</v>
      </c>
      <c r="B116" s="2" t="s">
        <v>46</v>
      </c>
      <c r="C116" s="2" t="s">
        <v>223</v>
      </c>
      <c r="D116" s="2" t="s">
        <v>284</v>
      </c>
      <c r="E116" s="2" t="s">
        <v>46</v>
      </c>
      <c r="F116" s="2" t="s">
        <v>32</v>
      </c>
      <c r="G116" s="2" t="s">
        <v>58</v>
      </c>
      <c r="H116" s="2"/>
      <c r="I116" s="2" t="str">
        <f>'2024_Roster_Offseason'!$C116&amp;'2024_Roster_Offseason'!$D116</f>
        <v>JaylenWaddle</v>
      </c>
      <c r="J116" s="7">
        <v>0.89</v>
      </c>
      <c r="K116" s="7">
        <v>0.26</v>
      </c>
      <c r="L116" s="2">
        <v>0.0</v>
      </c>
      <c r="M116" s="2">
        <v>16.07</v>
      </c>
      <c r="N116" s="2">
        <v>0.0</v>
      </c>
      <c r="O116" s="2" t="str">
        <f t="array" ref="O116">INDEX('2024_Transactions'!$J$2:$J$339,MATCH(1,('2024_Transactions'!$C$2:$C$339='2024_Roster_Offseason'!$I116)*('2024_Roster_Offseason'!$A116='2024_Transactions'!$B$2:$B$339),0))</f>
        <v>#N/A</v>
      </c>
      <c r="P116" s="8">
        <f t="array" ref="P116">INDEX('2024_Draft_team'!$J$2:$J$271,MATCH(1,('2024_Roster_Offseason'!$I116='2024_Draft_team'!$Q$2:$Q$271)*('2024_Roster_Offseason'!$A116='2024_Draft_team'!$B$2:$B$271),0))</f>
        <v>4</v>
      </c>
      <c r="Q116" s="16" t="s">
        <v>34</v>
      </c>
    </row>
    <row r="117" ht="14.25" customHeight="1">
      <c r="A117" s="3" t="s">
        <v>4</v>
      </c>
      <c r="B117" s="3" t="s">
        <v>55</v>
      </c>
      <c r="C117" s="3" t="s">
        <v>258</v>
      </c>
      <c r="D117" s="3" t="s">
        <v>169</v>
      </c>
      <c r="E117" s="3" t="s">
        <v>55</v>
      </c>
      <c r="F117" s="3" t="s">
        <v>32</v>
      </c>
      <c r="G117" s="3" t="s">
        <v>124</v>
      </c>
      <c r="H117" s="3"/>
      <c r="I117" s="3" t="str">
        <f>'2024_Roster_Offseason'!$C117&amp;'2024_Roster_Offseason'!$D117</f>
        <v>JakeElliott</v>
      </c>
      <c r="J117" s="10">
        <v>0.8</v>
      </c>
      <c r="K117" s="10">
        <v>0.65</v>
      </c>
      <c r="L117" s="3">
        <v>42.0</v>
      </c>
      <c r="M117" s="3">
        <v>21.06</v>
      </c>
      <c r="N117" s="3">
        <v>0.0</v>
      </c>
      <c r="O117" s="3" t="str">
        <f t="array" ref="O117">INDEX('2024_Transactions'!$J$2:$J$339,MATCH(1,('2024_Transactions'!$C$2:$C$339='2024_Roster_Offseason'!$I117)*('2024_Roster_Offseason'!$A117='2024_Transactions'!$B$2:$B$339),0))</f>
        <v>Signed</v>
      </c>
      <c r="P117" s="13">
        <f t="array" ref="P117">IFERROR(INDEX('2024_Draft_team'!$J$2:$J$271,MATCH(1,('2024_Roster_Offseason'!$I117='2024_Draft_team'!$Q$2:$Q$271)*('2024_Roster_Offseason'!$A117='2024_Draft_team'!$B$2:$B$271),0)),15)</f>
        <v>15</v>
      </c>
      <c r="Q117" s="15" t="s">
        <v>34</v>
      </c>
    </row>
    <row r="118" ht="14.25" customHeight="1">
      <c r="A118" s="2" t="s">
        <v>4</v>
      </c>
      <c r="B118" s="2" t="s">
        <v>59</v>
      </c>
      <c r="C118" s="2" t="s">
        <v>285</v>
      </c>
      <c r="D118" s="2" t="s">
        <v>286</v>
      </c>
      <c r="E118" s="2" t="s">
        <v>59</v>
      </c>
      <c r="F118" s="2" t="s">
        <v>32</v>
      </c>
      <c r="G118" s="2" t="s">
        <v>105</v>
      </c>
      <c r="H118" s="2"/>
      <c r="I118" s="2" t="str">
        <f>'2024_Roster_Offseason'!$C118&amp;'2024_Roster_Offseason'!$D118</f>
        <v>KwityPaye</v>
      </c>
      <c r="J118" s="7">
        <v>0.19</v>
      </c>
      <c r="K118" s="7">
        <v>0.07</v>
      </c>
      <c r="L118" s="2">
        <v>0.0</v>
      </c>
      <c r="M118" s="2">
        <v>13.47</v>
      </c>
      <c r="N118" s="2">
        <v>0.0</v>
      </c>
      <c r="O118" s="2" t="str">
        <f t="array" ref="O118">INDEX('2024_Transactions'!$J$2:$J$339,MATCH(1,('2024_Transactions'!$C$2:$C$339='2024_Roster_Offseason'!$I118)*('2024_Roster_Offseason'!$A118='2024_Transactions'!$B$2:$B$339),0))</f>
        <v>#N/A</v>
      </c>
      <c r="P118" s="8">
        <f t="array" ref="P118">INDEX('2024_Draft_team'!$J$2:$J$271,MATCH(1,('2024_Roster_Offseason'!$I118='2024_Draft_team'!$Q$2:$Q$271)*('2024_Roster_Offseason'!$A118='2024_Draft_team'!$B$2:$B$271),0))</f>
        <v>17</v>
      </c>
      <c r="Q118" s="16" t="s">
        <v>34</v>
      </c>
    </row>
    <row r="119" ht="14.25" customHeight="1">
      <c r="A119" s="3" t="s">
        <v>4</v>
      </c>
      <c r="B119" s="3" t="s">
        <v>59</v>
      </c>
      <c r="C119" s="3" t="s">
        <v>245</v>
      </c>
      <c r="D119" s="3" t="s">
        <v>287</v>
      </c>
      <c r="E119" s="3" t="s">
        <v>59</v>
      </c>
      <c r="F119" s="3" t="s">
        <v>32</v>
      </c>
      <c r="G119" s="3" t="s">
        <v>136</v>
      </c>
      <c r="H119" s="3"/>
      <c r="I119" s="3" t="str">
        <f>'2024_Roster_Offseason'!$C119&amp;'2024_Roster_Offseason'!$D119</f>
        <v>JaredVerse</v>
      </c>
      <c r="J119" s="10">
        <v>0.62</v>
      </c>
      <c r="K119" s="10">
        <v>0.46</v>
      </c>
      <c r="L119" s="3">
        <v>0.0</v>
      </c>
      <c r="M119" s="3">
        <v>15.82</v>
      </c>
      <c r="N119" s="3">
        <v>0.0</v>
      </c>
      <c r="O119" s="3" t="str">
        <f t="array" ref="O119">INDEX('2024_Transactions'!$J$2:$J$339,MATCH(1,('2024_Transactions'!$C$2:$C$339='2024_Roster_Offseason'!$I119)*('2024_Roster_Offseason'!$A119='2024_Transactions'!$B$2:$B$339),0))</f>
        <v>Signed</v>
      </c>
      <c r="P119" s="13">
        <f t="array" ref="P119">IFERROR(INDEX('2024_Draft_team'!$J$2:$J$271,MATCH(1,('2024_Roster_Offseason'!$I119='2024_Draft_team'!$Q$2:$Q$271)*('2024_Roster_Offseason'!$A119='2024_Draft_team'!$B$2:$B$271),0)),15)</f>
        <v>15</v>
      </c>
      <c r="Q119" s="15" t="s">
        <v>34</v>
      </c>
    </row>
    <row r="120" ht="14.25" customHeight="1">
      <c r="A120" s="2" t="s">
        <v>4</v>
      </c>
      <c r="B120" s="2" t="s">
        <v>59</v>
      </c>
      <c r="C120" s="2" t="s">
        <v>288</v>
      </c>
      <c r="D120" s="2" t="s">
        <v>289</v>
      </c>
      <c r="E120" s="2" t="s">
        <v>131</v>
      </c>
      <c r="F120" s="2" t="s">
        <v>59</v>
      </c>
      <c r="G120" s="2" t="s">
        <v>32</v>
      </c>
      <c r="H120" s="2" t="s">
        <v>238</v>
      </c>
      <c r="I120" s="2" t="str">
        <f>'2024_Roster_Offseason'!$C120&amp;'2024_Roster_Offseason'!$D120&amp;'2024_Roster_Offseason'!$E120</f>
        <v>AntoineWinfieldJr.</v>
      </c>
      <c r="J120" s="7">
        <v>0.59</v>
      </c>
      <c r="K120" s="7">
        <v>0.21</v>
      </c>
      <c r="L120" s="2">
        <v>0.0</v>
      </c>
      <c r="M120" s="2">
        <v>20.33</v>
      </c>
      <c r="N120" s="2">
        <v>0.0</v>
      </c>
      <c r="O120" s="2" t="str">
        <f t="array" ref="O120">INDEX('2024_Transactions'!$J$2:$J$339,MATCH(1,('2024_Transactions'!$C$2:$C$339='2024_Roster_Offseason'!$I120)*('2024_Roster_Offseason'!$A120='2024_Transactions'!$B$2:$B$339),0))</f>
        <v>#N/A</v>
      </c>
      <c r="P120" s="8">
        <f t="array" ref="P120">INDEX('2024_Draft_team'!$J$2:$J$271,MATCH(1,('2024_Roster_Offseason'!$I120='2024_Draft_team'!$Q$2:$Q$271)*('2024_Roster_Offseason'!$A120='2024_Draft_team'!$B$2:$B$271),0))</f>
        <v>8</v>
      </c>
      <c r="Q120" s="16" t="s">
        <v>34</v>
      </c>
    </row>
    <row r="121" ht="14.25" customHeight="1">
      <c r="A121" s="3" t="s">
        <v>4</v>
      </c>
      <c r="B121" s="3" t="s">
        <v>55</v>
      </c>
      <c r="C121" s="3" t="s">
        <v>253</v>
      </c>
      <c r="D121" s="3" t="s">
        <v>290</v>
      </c>
      <c r="E121" s="3" t="s">
        <v>55</v>
      </c>
      <c r="F121" s="3" t="s">
        <v>32</v>
      </c>
      <c r="G121" s="3" t="s">
        <v>90</v>
      </c>
      <c r="H121" s="3"/>
      <c r="I121" s="3" t="str">
        <f>'2024_Roster_Offseason'!$C121&amp;'2024_Roster_Offseason'!$D121</f>
        <v>HarrisonButker</v>
      </c>
      <c r="J121" s="10">
        <v>0.45</v>
      </c>
      <c r="K121" s="10">
        <v>0.21</v>
      </c>
      <c r="L121" s="3">
        <v>0.0</v>
      </c>
      <c r="M121" s="3">
        <v>17.23</v>
      </c>
      <c r="N121" s="3">
        <v>0.0</v>
      </c>
      <c r="O121" s="3" t="str">
        <f t="array" ref="O121">INDEX('2024_Transactions'!$J$2:$J$339,MATCH(1,('2024_Transactions'!$C$2:$C$339='2024_Roster_Offseason'!$I121)*('2024_Roster_Offseason'!$A121='2024_Transactions'!$B$2:$B$339),0))</f>
        <v>#N/A</v>
      </c>
      <c r="P121" s="11">
        <f t="array" ref="P121">INDEX('2024_Draft_team'!$J$2:$J$271,MATCH(1,('2024_Roster_Offseason'!$I121='2024_Draft_team'!$Q$2:$Q$271)*('2024_Roster_Offseason'!$A121='2024_Draft_team'!$B$2:$B$271),0))</f>
        <v>14</v>
      </c>
      <c r="Q121" s="15" t="s">
        <v>34</v>
      </c>
    </row>
    <row r="122" ht="14.25" customHeight="1">
      <c r="A122" s="2" t="s">
        <v>7</v>
      </c>
      <c r="B122" s="2" t="s">
        <v>29</v>
      </c>
      <c r="C122" s="2" t="s">
        <v>291</v>
      </c>
      <c r="D122" s="2" t="s">
        <v>292</v>
      </c>
      <c r="E122" s="2" t="s">
        <v>29</v>
      </c>
      <c r="F122" s="2" t="s">
        <v>32</v>
      </c>
      <c r="G122" s="2" t="s">
        <v>63</v>
      </c>
      <c r="H122" s="2"/>
      <c r="I122" s="2" t="str">
        <f>'2024_Roster_Offseason'!$C122&amp;'2024_Roster_Offseason'!$D122</f>
        <v>KirkCousins</v>
      </c>
      <c r="J122" s="7">
        <v>0.54</v>
      </c>
      <c r="K122" s="7">
        <v>0.09</v>
      </c>
      <c r="L122" s="2">
        <v>0.0</v>
      </c>
      <c r="M122" s="2">
        <v>29.86</v>
      </c>
      <c r="N122" s="2">
        <v>0.0</v>
      </c>
      <c r="O122" s="2" t="str">
        <f t="array" ref="O122">INDEX('2024_Transactions'!$J$2:$J$339,MATCH(1,('2024_Transactions'!$C$2:$C$339='2024_Roster_Offseason'!$I122)*('2024_Roster_Offseason'!$A122='2024_Transactions'!$B$2:$B$339),0))</f>
        <v>#N/A</v>
      </c>
      <c r="P122" s="8">
        <f t="array" ref="P122">INDEX('2024_Draft_team'!$J$2:$J$271,MATCH(1,('2024_Roster_Offseason'!$I122='2024_Draft_team'!$Q$2:$Q$271)*('2024_Roster_Offseason'!$A122='2024_Draft_team'!$B$2:$B$271),0))</f>
        <v>2</v>
      </c>
      <c r="Q122" s="9" t="s">
        <v>34</v>
      </c>
    </row>
    <row r="123" ht="14.25" customHeight="1">
      <c r="A123" s="3" t="s">
        <v>7</v>
      </c>
      <c r="B123" s="3" t="s">
        <v>29</v>
      </c>
      <c r="C123" s="3" t="s">
        <v>160</v>
      </c>
      <c r="D123" s="3" t="s">
        <v>293</v>
      </c>
      <c r="E123" s="3" t="s">
        <v>29</v>
      </c>
      <c r="F123" s="3" t="s">
        <v>32</v>
      </c>
      <c r="G123" s="3" t="s">
        <v>90</v>
      </c>
      <c r="H123" s="3"/>
      <c r="I123" s="3" t="str">
        <f>'2024_Roster_Offseason'!$C123&amp;'2024_Roster_Offseason'!$D123</f>
        <v>PatrickMahomes</v>
      </c>
      <c r="J123" s="10">
        <v>0.99</v>
      </c>
      <c r="K123" s="10">
        <v>0.68</v>
      </c>
      <c r="L123" s="3">
        <v>50.0</v>
      </c>
      <c r="M123" s="3">
        <v>48.44</v>
      </c>
      <c r="N123" s="3">
        <v>0.0</v>
      </c>
      <c r="O123" s="3" t="str">
        <f t="array" ref="O123">INDEX('2024_Transactions'!$J$2:$J$339,MATCH(1,('2024_Transactions'!$C$2:$C$339='2024_Roster_Offseason'!$I123)*('2024_Roster_Offseason'!$A123='2024_Transactions'!$B$2:$B$339),0))</f>
        <v>#N/A</v>
      </c>
      <c r="P123" s="11" t="str">
        <f t="array" ref="P123">INDEX('2024_Draft_team'!$J$2:$J$271,MATCH(1,('2024_Roster_Offseason'!$I123='2024_Draft_team'!$Q$2:$Q$271)*('2024_Roster_Offseason'!$A123='2024_Draft_team'!$B$2:$B$271),0))</f>
        <v>N/A</v>
      </c>
      <c r="Q123" s="12" t="s">
        <v>34</v>
      </c>
    </row>
    <row r="124" ht="14.25" customHeight="1">
      <c r="A124" s="2" t="s">
        <v>7</v>
      </c>
      <c r="B124" s="2" t="s">
        <v>39</v>
      </c>
      <c r="C124" s="2" t="s">
        <v>294</v>
      </c>
      <c r="D124" s="2" t="s">
        <v>295</v>
      </c>
      <c r="E124" s="2" t="s">
        <v>39</v>
      </c>
      <c r="F124" s="2" t="s">
        <v>32</v>
      </c>
      <c r="G124" s="2" t="s">
        <v>58</v>
      </c>
      <c r="H124" s="2"/>
      <c r="I124" s="2" t="str">
        <f>'2024_Roster_Offseason'!$C124&amp;'2024_Roster_Offseason'!$D124</f>
        <v>De'VonAchane</v>
      </c>
      <c r="J124" s="7">
        <v>1.0</v>
      </c>
      <c r="K124" s="7">
        <v>0.97</v>
      </c>
      <c r="L124" s="2">
        <v>0.0</v>
      </c>
      <c r="M124" s="2">
        <v>25.24</v>
      </c>
      <c r="N124" s="2">
        <v>0.0</v>
      </c>
      <c r="O124" s="2" t="str">
        <f t="array" ref="O124">INDEX('2024_Transactions'!$J$2:$J$339,MATCH(1,('2024_Transactions'!$C$2:$C$339='2024_Roster_Offseason'!$I124)*('2024_Roster_Offseason'!$A124='2024_Transactions'!$B$2:$B$339),0))</f>
        <v>#N/A</v>
      </c>
      <c r="P124" s="8">
        <f t="array" ref="P124">INDEX('2024_Draft_team'!$J$2:$J$271,MATCH(1,('2024_Roster_Offseason'!$I124='2024_Draft_team'!$Q$2:$Q$271)*('2024_Roster_Offseason'!$A124='2024_Draft_team'!$B$2:$B$271),0))</f>
        <v>19</v>
      </c>
      <c r="Q124" s="9" t="s">
        <v>38</v>
      </c>
    </row>
    <row r="125" ht="14.25" customHeight="1">
      <c r="A125" s="3" t="s">
        <v>7</v>
      </c>
      <c r="B125" s="3" t="s">
        <v>39</v>
      </c>
      <c r="C125" s="3" t="s">
        <v>296</v>
      </c>
      <c r="D125" s="3" t="s">
        <v>297</v>
      </c>
      <c r="E125" s="3" t="s">
        <v>39</v>
      </c>
      <c r="F125" s="3" t="s">
        <v>32</v>
      </c>
      <c r="G125" s="3" t="s">
        <v>136</v>
      </c>
      <c r="H125" s="3"/>
      <c r="I125" s="3" t="str">
        <f>'2024_Roster_Offseason'!$C125&amp;'2024_Roster_Offseason'!$D125</f>
        <v>KyrenWilliams</v>
      </c>
      <c r="J125" s="10">
        <v>0.99</v>
      </c>
      <c r="K125" s="10">
        <v>0.9</v>
      </c>
      <c r="L125" s="3">
        <v>0.0</v>
      </c>
      <c r="M125" s="3">
        <v>30.94</v>
      </c>
      <c r="N125" s="3">
        <v>0.0</v>
      </c>
      <c r="O125" s="3" t="str">
        <f t="array" ref="O125">INDEX('2024_Transactions'!$J$2:$J$339,MATCH(1,('2024_Transactions'!$C$2:$C$339='2024_Roster_Offseason'!$I125)*('2024_Roster_Offseason'!$A125='2024_Transactions'!$B$2:$B$339),0))</f>
        <v>#N/A</v>
      </c>
      <c r="P125" s="11">
        <f t="array" ref="P125">INDEX('2024_Draft_team'!$J$2:$J$271,MATCH(1,('2024_Roster_Offseason'!$I125='2024_Draft_team'!$Q$2:$Q$271)*('2024_Roster_Offseason'!$A125='2024_Draft_team'!$B$2:$B$271),0))</f>
        <v>11</v>
      </c>
      <c r="Q125" s="12" t="s">
        <v>38</v>
      </c>
    </row>
    <row r="126" ht="14.25" customHeight="1">
      <c r="A126" s="2" t="s">
        <v>7</v>
      </c>
      <c r="B126" s="2" t="s">
        <v>46</v>
      </c>
      <c r="C126" s="2" t="s">
        <v>298</v>
      </c>
      <c r="D126" s="2" t="s">
        <v>299</v>
      </c>
      <c r="E126" s="2" t="s">
        <v>46</v>
      </c>
      <c r="F126" s="2" t="s">
        <v>32</v>
      </c>
      <c r="G126" s="2" t="s">
        <v>141</v>
      </c>
      <c r="H126" s="2"/>
      <c r="I126" s="2" t="str">
        <f>'2024_Roster_Offseason'!$C126&amp;'2024_Roster_Offseason'!$D126</f>
        <v>SamLaPorta</v>
      </c>
      <c r="J126" s="7">
        <v>0.98</v>
      </c>
      <c r="K126" s="7">
        <v>0.78</v>
      </c>
      <c r="L126" s="2">
        <v>0.0</v>
      </c>
      <c r="M126" s="2">
        <v>20.12</v>
      </c>
      <c r="N126" s="2">
        <v>0.0</v>
      </c>
      <c r="O126" s="2" t="str">
        <f t="array" ref="O126">INDEX('2024_Transactions'!$J$2:$J$339,MATCH(1,('2024_Transactions'!$C$2:$C$339='2024_Roster_Offseason'!$I126)*('2024_Roster_Offseason'!$A126='2024_Transactions'!$B$2:$B$339),0))</f>
        <v>#N/A</v>
      </c>
      <c r="P126" s="8">
        <f t="array" ref="P126">INDEX('2024_Draft_team'!$J$2:$J$271,MATCH(1,('2024_Roster_Offseason'!$I126='2024_Draft_team'!$Q$2:$Q$271)*('2024_Roster_Offseason'!$A126='2024_Draft_team'!$B$2:$B$271),0))</f>
        <v>8</v>
      </c>
      <c r="Q126" s="9" t="s">
        <v>34</v>
      </c>
    </row>
    <row r="127" ht="14.25" customHeight="1">
      <c r="A127" s="3" t="s">
        <v>7</v>
      </c>
      <c r="B127" s="3" t="s">
        <v>46</v>
      </c>
      <c r="C127" s="3" t="s">
        <v>158</v>
      </c>
      <c r="D127" s="3" t="s">
        <v>300</v>
      </c>
      <c r="E127" s="3" t="s">
        <v>131</v>
      </c>
      <c r="F127" s="3" t="s">
        <v>46</v>
      </c>
      <c r="G127" s="3" t="s">
        <v>32</v>
      </c>
      <c r="H127" s="3" t="s">
        <v>148</v>
      </c>
      <c r="I127" s="3" t="str">
        <f>'2024_Roster_Offseason'!$C127&amp;'2024_Roster_Offseason'!$D127&amp;'2024_Roster_Offseason'!$E127</f>
        <v>BrianThomasJr.</v>
      </c>
      <c r="J127" s="10">
        <v>0.97</v>
      </c>
      <c r="K127" s="10">
        <v>0.87</v>
      </c>
      <c r="L127" s="3">
        <v>0.0</v>
      </c>
      <c r="M127" s="3">
        <v>26.0</v>
      </c>
      <c r="N127" s="3">
        <v>0.0</v>
      </c>
      <c r="O127" s="3" t="str">
        <f t="array" ref="O127">INDEX('2024_Transactions'!$J$2:$J$339,MATCH(1,('2024_Transactions'!$C$2:$C$339='2024_Roster_Offseason'!$I127)*('2024_Roster_Offseason'!$A127='2024_Transactions'!$B$2:$B$339),0))</f>
        <v>#N/A</v>
      </c>
      <c r="P127" s="11">
        <f t="array" ref="P127">INDEX('2024_Draft_team'!$J$2:$J$271,MATCH(1,('2024_Roster_Offseason'!$I127='2024_Draft_team'!$Q$2:$Q$271)*('2024_Roster_Offseason'!$A127='2024_Draft_team'!$B$2:$B$271),0))</f>
        <v>21</v>
      </c>
      <c r="Q127" s="12" t="s">
        <v>38</v>
      </c>
    </row>
    <row r="128" ht="14.25" customHeight="1">
      <c r="A128" s="2" t="s">
        <v>7</v>
      </c>
      <c r="B128" s="2" t="s">
        <v>46</v>
      </c>
      <c r="C128" s="2" t="s">
        <v>40</v>
      </c>
      <c r="D128" s="2" t="s">
        <v>301</v>
      </c>
      <c r="E128" s="2" t="s">
        <v>46</v>
      </c>
      <c r="F128" s="2" t="s">
        <v>32</v>
      </c>
      <c r="G128" s="2" t="s">
        <v>71</v>
      </c>
      <c r="H128" s="2"/>
      <c r="I128" s="2" t="str">
        <f>'2024_Roster_Offseason'!$C128&amp;'2024_Roster_Offseason'!$D128</f>
        <v>NickWestbrook-Ikhine</v>
      </c>
      <c r="J128" s="7">
        <v>0.71</v>
      </c>
      <c r="K128" s="7">
        <v>0.28</v>
      </c>
      <c r="L128" s="2">
        <v>0.0</v>
      </c>
      <c r="M128" s="2">
        <v>13.41</v>
      </c>
      <c r="N128" s="2">
        <v>0.0</v>
      </c>
      <c r="O128" s="2" t="str">
        <f t="array" ref="O128">INDEX('2024_Transactions'!$J$2:$J$339,MATCH(1,('2024_Transactions'!$C$2:$C$339='2024_Roster_Offseason'!$I128)*('2024_Roster_Offseason'!$A128='2024_Transactions'!$B$2:$B$339),0))</f>
        <v>Signed</v>
      </c>
      <c r="P128" s="14">
        <f t="array" ref="P128">IFERROR(INDEX('2024_Draft_team'!$J$2:$J$271,MATCH(1,('2024_Roster_Offseason'!$I128='2024_Draft_team'!$Q$2:$Q$271)*('2024_Roster_Offseason'!$A128='2024_Draft_team'!$B$2:$B$271),0)),15)</f>
        <v>15</v>
      </c>
      <c r="Q128" s="9" t="s">
        <v>34</v>
      </c>
    </row>
    <row r="129" ht="14.25" customHeight="1">
      <c r="A129" s="3" t="s">
        <v>7</v>
      </c>
      <c r="B129" s="3" t="s">
        <v>55</v>
      </c>
      <c r="C129" s="3" t="s">
        <v>180</v>
      </c>
      <c r="D129" s="3" t="s">
        <v>302</v>
      </c>
      <c r="E129" s="3" t="s">
        <v>55</v>
      </c>
      <c r="F129" s="3" t="s">
        <v>32</v>
      </c>
      <c r="G129" s="3" t="s">
        <v>170</v>
      </c>
      <c r="H129" s="3"/>
      <c r="I129" s="3" t="str">
        <f>'2024_Roster_Offseason'!$C129&amp;'2024_Roster_Offseason'!$D129</f>
        <v>ChrisBoswell</v>
      </c>
      <c r="J129" s="10">
        <v>0.98</v>
      </c>
      <c r="K129" s="10">
        <v>0.87</v>
      </c>
      <c r="L129" s="3">
        <v>0.0</v>
      </c>
      <c r="M129" s="3">
        <v>24.06</v>
      </c>
      <c r="N129" s="3">
        <v>0.0</v>
      </c>
      <c r="O129" s="3" t="str">
        <f t="array" ref="O129">INDEX('2024_Transactions'!$J$2:$J$339,MATCH(1,('2024_Transactions'!$C$2:$C$339='2024_Roster_Offseason'!$I129)*('2024_Roster_Offseason'!$A129='2024_Transactions'!$B$2:$B$339),0))</f>
        <v>Signed</v>
      </c>
      <c r="P129" s="13">
        <f t="array" ref="P129">IFERROR(INDEX('2024_Draft_team'!$J$2:$J$271,MATCH(1,('2024_Roster_Offseason'!$I129='2024_Draft_team'!$Q$2:$Q$271)*('2024_Roster_Offseason'!$A129='2024_Draft_team'!$B$2:$B$271),0)),15)</f>
        <v>15</v>
      </c>
      <c r="Q129" s="12" t="s">
        <v>34</v>
      </c>
    </row>
    <row r="130" ht="14.25" customHeight="1">
      <c r="A130" s="2" t="s">
        <v>7</v>
      </c>
      <c r="B130" s="2" t="s">
        <v>59</v>
      </c>
      <c r="C130" s="2" t="s">
        <v>303</v>
      </c>
      <c r="D130" s="2" t="s">
        <v>304</v>
      </c>
      <c r="E130" s="2" t="s">
        <v>59</v>
      </c>
      <c r="F130" s="2" t="s">
        <v>32</v>
      </c>
      <c r="G130" s="2" t="s">
        <v>79</v>
      </c>
      <c r="H130" s="2"/>
      <c r="I130" s="2" t="str">
        <f>'2024_Roster_Offseason'!$C130&amp;'2024_Roster_Offseason'!$D130</f>
        <v>BlakeCashman</v>
      </c>
      <c r="J130" s="7">
        <v>0.35</v>
      </c>
      <c r="K130" s="7">
        <v>0.28</v>
      </c>
      <c r="L130" s="2">
        <v>0.0</v>
      </c>
      <c r="M130" s="2">
        <v>25.43</v>
      </c>
      <c r="N130" s="2">
        <v>0.0</v>
      </c>
      <c r="O130" s="2" t="str">
        <f t="array" ref="O130">INDEX('2024_Transactions'!$J$2:$J$339,MATCH(1,('2024_Transactions'!$C$2:$C$339='2024_Roster_Offseason'!$I130)*('2024_Roster_Offseason'!$A130='2024_Transactions'!$B$2:$B$339),0))</f>
        <v>#N/A</v>
      </c>
      <c r="P130" s="8">
        <f t="array" ref="P130">INDEX('2024_Draft_team'!$J$2:$J$271,MATCH(1,('2024_Roster_Offseason'!$I130='2024_Draft_team'!$Q$2:$Q$271)*('2024_Roster_Offseason'!$A130='2024_Draft_team'!$B$2:$B$271),0))</f>
        <v>12</v>
      </c>
      <c r="Q130" s="9" t="s">
        <v>38</v>
      </c>
    </row>
    <row r="131" ht="14.25" customHeight="1">
      <c r="A131" s="3" t="s">
        <v>7</v>
      </c>
      <c r="B131" s="3" t="s">
        <v>59</v>
      </c>
      <c r="C131" s="3" t="s">
        <v>305</v>
      </c>
      <c r="D131" s="3" t="s">
        <v>306</v>
      </c>
      <c r="E131" s="3" t="s">
        <v>59</v>
      </c>
      <c r="F131" s="3" t="s">
        <v>32</v>
      </c>
      <c r="G131" s="3" t="s">
        <v>54</v>
      </c>
      <c r="H131" s="3"/>
      <c r="I131" s="3" t="str">
        <f>'2024_Roster_Offseason'!$C131&amp;'2024_Roster_Offseason'!$D131</f>
        <v>DerwinJames</v>
      </c>
      <c r="J131" s="10">
        <v>0.76</v>
      </c>
      <c r="K131" s="10">
        <v>0.65</v>
      </c>
      <c r="L131" s="3">
        <v>0.0</v>
      </c>
      <c r="M131" s="3">
        <v>21.38</v>
      </c>
      <c r="N131" s="3">
        <v>0.0</v>
      </c>
      <c r="O131" s="3" t="str">
        <f t="array" ref="O131">INDEX('2024_Transactions'!$J$2:$J$339,MATCH(1,('2024_Transactions'!$C$2:$C$339='2024_Roster_Offseason'!$I131)*('2024_Roster_Offseason'!$A131='2024_Transactions'!$B$2:$B$339),0))</f>
        <v>#N/A</v>
      </c>
      <c r="P131" s="11">
        <f t="array" ref="P131">INDEX('2024_Draft_team'!$J$2:$J$271,MATCH(1,('2024_Roster_Offseason'!$I131='2024_Draft_team'!$Q$2:$Q$271)*('2024_Roster_Offseason'!$A131='2024_Draft_team'!$B$2:$B$271),0))</f>
        <v>4</v>
      </c>
      <c r="Q131" s="12" t="s">
        <v>34</v>
      </c>
    </row>
    <row r="132" ht="14.25" customHeight="1">
      <c r="A132" s="2" t="s">
        <v>7</v>
      </c>
      <c r="B132" s="2" t="s">
        <v>59</v>
      </c>
      <c r="C132" s="2" t="s">
        <v>307</v>
      </c>
      <c r="D132" s="2" t="s">
        <v>308</v>
      </c>
      <c r="E132" s="2" t="s">
        <v>59</v>
      </c>
      <c r="F132" s="2" t="s">
        <v>32</v>
      </c>
      <c r="G132" s="2" t="s">
        <v>218</v>
      </c>
      <c r="H132" s="2"/>
      <c r="I132" s="2" t="str">
        <f>'2024_Roster_Offseason'!$C132&amp;'2024_Roster_Offseason'!$D132</f>
        <v>JoseyJewell</v>
      </c>
      <c r="J132" s="7">
        <v>0.41</v>
      </c>
      <c r="K132" s="7">
        <v>0.23</v>
      </c>
      <c r="L132" s="2">
        <v>0.0</v>
      </c>
      <c r="M132" s="2">
        <v>23.42</v>
      </c>
      <c r="N132" s="2">
        <v>0.0</v>
      </c>
      <c r="O132" s="2" t="str">
        <f t="array" ref="O132">INDEX('2024_Transactions'!$J$2:$J$339,MATCH(1,('2024_Transactions'!$C$2:$C$339='2024_Roster_Offseason'!$I132)*('2024_Roster_Offseason'!$A132='2024_Transactions'!$B$2:$B$339),0))</f>
        <v>#N/A</v>
      </c>
      <c r="P132" s="8">
        <f t="array" ref="P132">INDEX('2024_Draft_team'!$J$2:$J$271,MATCH(1,('2024_Roster_Offseason'!$I132='2024_Draft_team'!$Q$2:$Q$271)*('2024_Roster_Offseason'!$A132='2024_Draft_team'!$B$2:$B$271),0))</f>
        <v>19</v>
      </c>
      <c r="Q132" s="9" t="s">
        <v>34</v>
      </c>
    </row>
    <row r="133" ht="14.25" customHeight="1">
      <c r="A133" s="3" t="s">
        <v>7</v>
      </c>
      <c r="B133" s="3" t="s">
        <v>59</v>
      </c>
      <c r="C133" s="3" t="s">
        <v>309</v>
      </c>
      <c r="D133" s="3" t="s">
        <v>310</v>
      </c>
      <c r="E133" s="3" t="s">
        <v>59</v>
      </c>
      <c r="F133" s="3" t="s">
        <v>32</v>
      </c>
      <c r="G133" s="3" t="s">
        <v>110</v>
      </c>
      <c r="H133" s="3"/>
      <c r="I133" s="3" t="str">
        <f>'2024_Roster_Offseason'!$C133&amp;'2024_Roster_Offseason'!$D133</f>
        <v>JulianLove</v>
      </c>
      <c r="J133" s="10">
        <v>0.75</v>
      </c>
      <c r="K133" s="10">
        <v>0.66</v>
      </c>
      <c r="L133" s="3">
        <v>0.0</v>
      </c>
      <c r="M133" s="3">
        <v>20.35</v>
      </c>
      <c r="N133" s="3">
        <v>0.0</v>
      </c>
      <c r="O133" s="3" t="str">
        <f t="array" ref="O133">INDEX('2024_Transactions'!$J$2:$J$339,MATCH(1,('2024_Transactions'!$C$2:$C$339='2024_Roster_Offseason'!$I133)*('2024_Roster_Offseason'!$A133='2024_Transactions'!$B$2:$B$339),0))</f>
        <v>#N/A</v>
      </c>
      <c r="P133" s="11">
        <f t="array" ref="P133">INDEX('2024_Draft_team'!$J$2:$J$271,MATCH(1,('2024_Roster_Offseason'!$I133='2024_Draft_team'!$Q$2:$Q$271)*('2024_Roster_Offseason'!$A133='2024_Draft_team'!$B$2:$B$271),0))</f>
        <v>12</v>
      </c>
      <c r="Q133" s="12" t="s">
        <v>34</v>
      </c>
    </row>
    <row r="134" ht="14.25" customHeight="1">
      <c r="A134" s="2" t="s">
        <v>7</v>
      </c>
      <c r="B134" s="2" t="s">
        <v>59</v>
      </c>
      <c r="C134" s="2" t="s">
        <v>311</v>
      </c>
      <c r="D134" s="2" t="s">
        <v>312</v>
      </c>
      <c r="E134" s="2" t="s">
        <v>313</v>
      </c>
      <c r="F134" s="2" t="s">
        <v>59</v>
      </c>
      <c r="G134" s="2" t="s">
        <v>32</v>
      </c>
      <c r="H134" s="2" t="s">
        <v>79</v>
      </c>
      <c r="I134" s="2" t="str">
        <f>'2024_Roster_Offseason'!$C134&amp;'2024_Roster_Offseason'!$D134&amp;'2024_Roster_Offseason'!$E134</f>
        <v>AndrewVanGinkel</v>
      </c>
      <c r="J134" s="7">
        <v>0.7</v>
      </c>
      <c r="K134" s="7">
        <v>0.56</v>
      </c>
      <c r="L134" s="2">
        <v>0.0</v>
      </c>
      <c r="M134" s="2">
        <v>24.12</v>
      </c>
      <c r="N134" s="2">
        <v>0.0</v>
      </c>
      <c r="O134" s="2" t="str">
        <f t="array" ref="O134">INDEX('2024_Transactions'!$J$2:$J$339,MATCH(1,('2024_Transactions'!$C$2:$C$339='2024_Roster_Offseason'!$I134)*('2024_Roster_Offseason'!$A134='2024_Transactions'!$B$2:$B$339),0))</f>
        <v>Signed</v>
      </c>
      <c r="P134" s="14">
        <f t="array" ref="P134">IFERROR(INDEX('2024_Draft_team'!$J$2:$J$271,MATCH(1,('2024_Roster_Offseason'!$I134='2024_Draft_team'!$Q$2:$Q$271)*('2024_Roster_Offseason'!$A134='2024_Draft_team'!$B$2:$B$271),0)),15)</f>
        <v>15</v>
      </c>
      <c r="Q134" s="9" t="s">
        <v>38</v>
      </c>
    </row>
    <row r="135" ht="14.25" customHeight="1">
      <c r="A135" s="3" t="s">
        <v>7</v>
      </c>
      <c r="B135" s="3" t="s">
        <v>59</v>
      </c>
      <c r="C135" s="3" t="s">
        <v>314</v>
      </c>
      <c r="D135" s="3" t="s">
        <v>297</v>
      </c>
      <c r="E135" s="3" t="s">
        <v>59</v>
      </c>
      <c r="F135" s="3" t="s">
        <v>32</v>
      </c>
      <c r="G135" s="3" t="s">
        <v>49</v>
      </c>
      <c r="H135" s="3"/>
      <c r="I135" s="3" t="str">
        <f>'2024_Roster_Offseason'!$C135&amp;'2024_Roster_Offseason'!$D135</f>
        <v>QuincyWilliams</v>
      </c>
      <c r="J135" s="10">
        <v>0.64</v>
      </c>
      <c r="K135" s="10">
        <v>0.43</v>
      </c>
      <c r="L135" s="3">
        <v>0.0</v>
      </c>
      <c r="M135" s="3">
        <v>19.41</v>
      </c>
      <c r="N135" s="3">
        <v>0.0</v>
      </c>
      <c r="O135" s="3" t="str">
        <f t="array" ref="O135">INDEX('2024_Transactions'!$J$2:$J$339,MATCH(1,('2024_Transactions'!$C$2:$C$339='2024_Roster_Offseason'!$I135)*('2024_Roster_Offseason'!$A135='2024_Transactions'!$B$2:$B$339),0))</f>
        <v>#N/A</v>
      </c>
      <c r="P135" s="11">
        <f t="array" ref="P135">INDEX('2024_Draft_team'!$J$2:$J$271,MATCH(1,('2024_Roster_Offseason'!$I135='2024_Draft_team'!$Q$2:$Q$271)*('2024_Roster_Offseason'!$A135='2024_Draft_team'!$B$2:$B$271),0))</f>
        <v>7</v>
      </c>
      <c r="Q135" s="12" t="s">
        <v>38</v>
      </c>
    </row>
    <row r="136" ht="14.25" customHeight="1">
      <c r="A136" s="2" t="s">
        <v>7</v>
      </c>
      <c r="B136" s="2" t="s">
        <v>59</v>
      </c>
      <c r="C136" s="2" t="s">
        <v>72</v>
      </c>
      <c r="D136" s="2" t="s">
        <v>315</v>
      </c>
      <c r="E136" s="2" t="s">
        <v>59</v>
      </c>
      <c r="F136" s="2" t="s">
        <v>32</v>
      </c>
      <c r="G136" s="2" t="s">
        <v>218</v>
      </c>
      <c r="H136" s="2"/>
      <c r="I136" s="2" t="str">
        <f>'2024_Roster_Offseason'!$C136&amp;'2024_Roster_Offseason'!$D136</f>
        <v>XavierWoods</v>
      </c>
      <c r="J136" s="7">
        <v>0.32</v>
      </c>
      <c r="K136" s="7">
        <v>0.24</v>
      </c>
      <c r="L136" s="2">
        <v>0.0</v>
      </c>
      <c r="M136" s="2">
        <v>19.06</v>
      </c>
      <c r="N136" s="2">
        <v>0.0</v>
      </c>
      <c r="O136" s="2" t="str">
        <f t="array" ref="O136">INDEX('2024_Transactions'!$J$2:$J$339,MATCH(1,('2024_Transactions'!$C$2:$C$339='2024_Roster_Offseason'!$I136)*('2024_Roster_Offseason'!$A136='2024_Transactions'!$B$2:$B$339),0))</f>
        <v>Signed</v>
      </c>
      <c r="P136" s="14">
        <f t="array" ref="P136">IFERROR(INDEX('2024_Draft_team'!$J$2:$J$271,MATCH(1,('2024_Roster_Offseason'!$I136='2024_Draft_team'!$Q$2:$Q$271)*('2024_Roster_Offseason'!$A136='2024_Draft_team'!$B$2:$B$271),0)),15)</f>
        <v>15</v>
      </c>
      <c r="Q136" s="9" t="s">
        <v>34</v>
      </c>
    </row>
    <row r="137" ht="14.25" customHeight="1">
      <c r="A137" s="3" t="s">
        <v>7</v>
      </c>
      <c r="B137" s="3" t="s">
        <v>29</v>
      </c>
      <c r="C137" s="3" t="s">
        <v>101</v>
      </c>
      <c r="D137" s="3" t="s">
        <v>94</v>
      </c>
      <c r="E137" s="3" t="s">
        <v>29</v>
      </c>
      <c r="F137" s="3" t="s">
        <v>32</v>
      </c>
      <c r="G137" s="3" t="s">
        <v>37</v>
      </c>
      <c r="H137" s="3"/>
      <c r="I137" s="3" t="str">
        <f>'2024_Roster_Offseason'!$C137&amp;'2024_Roster_Offseason'!$D137</f>
        <v>BrandonAllen</v>
      </c>
      <c r="J137" s="10">
        <v>0.04</v>
      </c>
      <c r="K137" s="10">
        <v>0.01</v>
      </c>
      <c r="L137" s="3">
        <v>0.0</v>
      </c>
      <c r="M137" s="3">
        <v>5.67</v>
      </c>
      <c r="N137" s="3">
        <v>0.0</v>
      </c>
      <c r="O137" s="3" t="str">
        <f t="array" ref="O137">INDEX('2024_Transactions'!$J$2:$J$339,MATCH(1,('2024_Transactions'!$C$2:$C$339='2024_Roster_Offseason'!$I137)*('2024_Roster_Offseason'!$A137='2024_Transactions'!$B$2:$B$339),0))</f>
        <v>Signed</v>
      </c>
      <c r="P137" s="13">
        <f t="array" ref="P137">IFERROR(INDEX('2024_Draft_team'!$J$2:$J$271,MATCH(1,('2024_Roster_Offseason'!$I137='2024_Draft_team'!$Q$2:$Q$271)*('2024_Roster_Offseason'!$A137='2024_Draft_team'!$B$2:$B$271),0)),15)</f>
        <v>15</v>
      </c>
      <c r="Q137" s="12" t="s">
        <v>34</v>
      </c>
    </row>
    <row r="138" ht="14.25" customHeight="1">
      <c r="A138" s="2" t="s">
        <v>7</v>
      </c>
      <c r="B138" s="2" t="s">
        <v>39</v>
      </c>
      <c r="C138" s="2" t="s">
        <v>316</v>
      </c>
      <c r="D138" s="2" t="s">
        <v>317</v>
      </c>
      <c r="E138" s="2" t="s">
        <v>39</v>
      </c>
      <c r="F138" s="2" t="s">
        <v>32</v>
      </c>
      <c r="G138" s="2" t="s">
        <v>218</v>
      </c>
      <c r="H138" s="2"/>
      <c r="I138" s="2" t="str">
        <f>'2024_Roster_Offseason'!$C138&amp;'2024_Roster_Offseason'!$D138</f>
        <v>JonathonBrooks</v>
      </c>
      <c r="J138" s="7">
        <v>0.39</v>
      </c>
      <c r="K138" s="7">
        <v>0.03</v>
      </c>
      <c r="L138" s="2">
        <v>0.0</v>
      </c>
      <c r="M138" s="2">
        <v>2.67</v>
      </c>
      <c r="N138" s="2">
        <v>0.0</v>
      </c>
      <c r="O138" s="2" t="str">
        <f t="array" ref="O138">INDEX('2024_Transactions'!$J$2:$J$339,MATCH(1,('2024_Transactions'!$C$2:$C$339='2024_Roster_Offseason'!$I138)*('2024_Roster_Offseason'!$A138='2024_Transactions'!$B$2:$B$339),0))</f>
        <v>#N/A</v>
      </c>
      <c r="P138" s="8">
        <f t="array" ref="P138">INDEX('2024_Draft_team'!$J$2:$J$271,MATCH(1,('2024_Roster_Offseason'!$I138='2024_Draft_team'!$Q$2:$Q$271)*('2024_Roster_Offseason'!$A138='2024_Draft_team'!$B$2:$B$271),0))</f>
        <v>13</v>
      </c>
      <c r="Q138" s="9" t="s">
        <v>34</v>
      </c>
    </row>
    <row r="139" ht="14.25" customHeight="1">
      <c r="A139" s="3" t="s">
        <v>7</v>
      </c>
      <c r="B139" s="3" t="s">
        <v>39</v>
      </c>
      <c r="C139" s="3" t="s">
        <v>264</v>
      </c>
      <c r="D139" s="3" t="s">
        <v>318</v>
      </c>
      <c r="E139" s="3" t="s">
        <v>39</v>
      </c>
      <c r="F139" s="3" t="s">
        <v>32</v>
      </c>
      <c r="G139" s="3" t="s">
        <v>141</v>
      </c>
      <c r="H139" s="3"/>
      <c r="I139" s="3" t="str">
        <f>'2024_Roster_Offseason'!$C139&amp;'2024_Roster_Offseason'!$D139</f>
        <v>DavidMontgomery</v>
      </c>
      <c r="J139" s="10">
        <v>0.78</v>
      </c>
      <c r="K139" s="10">
        <v>0.34</v>
      </c>
      <c r="L139" s="3">
        <v>0.0</v>
      </c>
      <c r="M139" s="3">
        <v>25.64</v>
      </c>
      <c r="N139" s="3">
        <v>0.0</v>
      </c>
      <c r="O139" s="3" t="str">
        <f t="array" ref="O139">INDEX('2024_Transactions'!$J$2:$J$339,MATCH(1,('2024_Transactions'!$C$2:$C$339='2024_Roster_Offseason'!$I139)*('2024_Roster_Offseason'!$A139='2024_Transactions'!$B$2:$B$339),0))</f>
        <v>#N/A</v>
      </c>
      <c r="P139" s="11">
        <f t="array" ref="P139">INDEX('2024_Draft_team'!$J$2:$J$271,MATCH(1,('2024_Roster_Offseason'!$I139='2024_Draft_team'!$Q$2:$Q$271)*('2024_Roster_Offseason'!$A139='2024_Draft_team'!$B$2:$B$271),0))</f>
        <v>14</v>
      </c>
      <c r="Q139" s="12" t="s">
        <v>38</v>
      </c>
    </row>
    <row r="140" ht="14.25" customHeight="1">
      <c r="A140" s="2" t="s">
        <v>7</v>
      </c>
      <c r="B140" s="2" t="s">
        <v>39</v>
      </c>
      <c r="C140" s="2" t="s">
        <v>241</v>
      </c>
      <c r="D140" s="2" t="s">
        <v>153</v>
      </c>
      <c r="E140" s="2" t="s">
        <v>62</v>
      </c>
      <c r="F140" s="2" t="s">
        <v>39</v>
      </c>
      <c r="G140" s="2" t="s">
        <v>32</v>
      </c>
      <c r="H140" s="2" t="s">
        <v>110</v>
      </c>
      <c r="I140" s="2" t="str">
        <f>'2024_Roster_Offseason'!$C140&amp;'2024_Roster_Offseason'!$D140&amp;'2024_Roster_Offseason'!$E140</f>
        <v>KennethWalkerIII</v>
      </c>
      <c r="J140" s="7">
        <v>0.93</v>
      </c>
      <c r="K140" s="7">
        <v>0.17</v>
      </c>
      <c r="L140" s="2">
        <v>0.0</v>
      </c>
      <c r="M140" s="2">
        <v>24.09</v>
      </c>
      <c r="N140" s="2">
        <v>0.0</v>
      </c>
      <c r="O140" s="2" t="str">
        <f t="array" ref="O140">INDEX('2024_Transactions'!$J$2:$J$339,MATCH(1,('2024_Transactions'!$C$2:$C$339='2024_Roster_Offseason'!$I140)*('2024_Roster_Offseason'!$A140='2024_Transactions'!$B$2:$B$339),0))</f>
        <v>#N/A</v>
      </c>
      <c r="P140" s="8">
        <f t="array" ref="P140">INDEX('2024_Draft_team'!$J$2:$J$271,MATCH(1,('2024_Roster_Offseason'!$I140='2024_Draft_team'!$Q$2:$Q$271)*('2024_Roster_Offseason'!$A140='2024_Draft_team'!$B$2:$B$271),0))</f>
        <v>5</v>
      </c>
      <c r="Q140" s="9" t="s">
        <v>34</v>
      </c>
    </row>
    <row r="141" ht="14.25" customHeight="1">
      <c r="A141" s="3" t="s">
        <v>7</v>
      </c>
      <c r="B141" s="3" t="s">
        <v>46</v>
      </c>
      <c r="C141" s="3" t="s">
        <v>319</v>
      </c>
      <c r="D141" s="3" t="s">
        <v>320</v>
      </c>
      <c r="E141" s="3" t="s">
        <v>46</v>
      </c>
      <c r="F141" s="3" t="s">
        <v>32</v>
      </c>
      <c r="G141" s="3" t="s">
        <v>45</v>
      </c>
      <c r="H141" s="3"/>
      <c r="I141" s="3" t="str">
        <f>'2024_Roster_Offseason'!$C141&amp;'2024_Roster_Offseason'!$D141</f>
        <v>RomeoDoubs</v>
      </c>
      <c r="J141" s="10">
        <v>0.65</v>
      </c>
      <c r="K141" s="10">
        <v>0.14</v>
      </c>
      <c r="L141" s="3">
        <v>0.0</v>
      </c>
      <c r="M141" s="3">
        <v>17.46</v>
      </c>
      <c r="N141" s="3">
        <v>0.0</v>
      </c>
      <c r="O141" s="3" t="str">
        <f t="array" ref="O141">INDEX('2024_Transactions'!$J$2:$J$339,MATCH(1,('2024_Transactions'!$C$2:$C$339='2024_Roster_Offseason'!$I141)*('2024_Roster_Offseason'!$A141='2024_Transactions'!$B$2:$B$339),0))</f>
        <v>Signed</v>
      </c>
      <c r="P141" s="13">
        <f t="array" ref="P141">IFERROR(INDEX('2024_Draft_team'!$J$2:$J$271,MATCH(1,('2024_Roster_Offseason'!$I141='2024_Draft_team'!$Q$2:$Q$271)*('2024_Roster_Offseason'!$A141='2024_Draft_team'!$B$2:$B$271),0)),15)</f>
        <v>15</v>
      </c>
      <c r="Q141" s="12" t="s">
        <v>34</v>
      </c>
    </row>
    <row r="142" ht="14.25" customHeight="1">
      <c r="A142" s="2" t="s">
        <v>7</v>
      </c>
      <c r="B142" s="2" t="s">
        <v>46</v>
      </c>
      <c r="C142" s="2" t="s">
        <v>321</v>
      </c>
      <c r="D142" s="2" t="s">
        <v>322</v>
      </c>
      <c r="E142" s="2" t="s">
        <v>46</v>
      </c>
      <c r="F142" s="2" t="s">
        <v>32</v>
      </c>
      <c r="G142" s="2" t="s">
        <v>179</v>
      </c>
      <c r="H142" s="2"/>
      <c r="I142" s="2" t="str">
        <f>'2024_Roster_Offseason'!$C142&amp;'2024_Roster_Offseason'!$D142</f>
        <v>ZayFlowers</v>
      </c>
      <c r="J142" s="7">
        <v>0.99</v>
      </c>
      <c r="K142" s="7">
        <v>0.6</v>
      </c>
      <c r="L142" s="2">
        <v>0.0</v>
      </c>
      <c r="M142" s="2">
        <v>19.65</v>
      </c>
      <c r="N142" s="2">
        <v>0.0</v>
      </c>
      <c r="O142" s="2" t="str">
        <f t="array" ref="O142">INDEX('2024_Transactions'!$J$2:$J$339,MATCH(1,('2024_Transactions'!$C$2:$C$339='2024_Roster_Offseason'!$I142)*('2024_Roster_Offseason'!$A142='2024_Transactions'!$B$2:$B$339),0))</f>
        <v>#N/A</v>
      </c>
      <c r="P142" s="8">
        <f t="array" ref="P142">INDEX('2024_Draft_team'!$J$2:$J$271,MATCH(1,('2024_Roster_Offseason'!$I142='2024_Draft_team'!$Q$2:$Q$271)*('2024_Roster_Offseason'!$A142='2024_Draft_team'!$B$2:$B$271),0))</f>
        <v>13</v>
      </c>
      <c r="Q142" s="9" t="s">
        <v>38</v>
      </c>
    </row>
    <row r="143" ht="14.25" customHeight="1">
      <c r="A143" s="3" t="s">
        <v>7</v>
      </c>
      <c r="B143" s="3" t="s">
        <v>46</v>
      </c>
      <c r="C143" s="3" t="s">
        <v>323</v>
      </c>
      <c r="D143" s="3" t="s">
        <v>324</v>
      </c>
      <c r="E143" s="3" t="s">
        <v>46</v>
      </c>
      <c r="F143" s="3" t="s">
        <v>32</v>
      </c>
      <c r="G143" s="3" t="s">
        <v>105</v>
      </c>
      <c r="H143" s="3"/>
      <c r="I143" s="3" t="str">
        <f>'2024_Roster_Offseason'!$C143&amp;'2024_Roster_Offseason'!$D143</f>
        <v>MichaelPittman</v>
      </c>
      <c r="J143" s="10">
        <v>0.77</v>
      </c>
      <c r="K143" s="10">
        <v>0.18</v>
      </c>
      <c r="L143" s="3">
        <v>0.0</v>
      </c>
      <c r="M143" s="3">
        <v>17.38</v>
      </c>
      <c r="N143" s="3">
        <v>0.0</v>
      </c>
      <c r="O143" s="3" t="str">
        <f t="array" ref="O143">INDEX('2024_Transactions'!$J$2:$J$339,MATCH(1,('2024_Transactions'!$C$2:$C$339='2024_Roster_Offseason'!$I143)*('2024_Roster_Offseason'!$A143='2024_Transactions'!$B$2:$B$339),0))</f>
        <v>#N/A</v>
      </c>
      <c r="P143" s="11">
        <f t="array" ref="P143">INDEX('2024_Draft_team'!$J$2:$J$271,MATCH(1,('2024_Roster_Offseason'!$I143='2024_Draft_team'!$Q$2:$Q$271)*('2024_Roster_Offseason'!$A143='2024_Draft_team'!$B$2:$B$271),0))</f>
        <v>21</v>
      </c>
      <c r="Q143" s="12" t="s">
        <v>34</v>
      </c>
    </row>
    <row r="144" ht="14.25" customHeight="1">
      <c r="A144" s="2" t="s">
        <v>7</v>
      </c>
      <c r="B144" s="2" t="s">
        <v>46</v>
      </c>
      <c r="C144" s="2" t="s">
        <v>325</v>
      </c>
      <c r="D144" s="2" t="s">
        <v>159</v>
      </c>
      <c r="E144" s="2" t="s">
        <v>46</v>
      </c>
      <c r="F144" s="2" t="s">
        <v>32</v>
      </c>
      <c r="G144" s="2" t="s">
        <v>82</v>
      </c>
      <c r="H144" s="2"/>
      <c r="I144" s="2" t="str">
        <f>'2024_Roster_Offseason'!$C144&amp;'2024_Roster_Offseason'!$D144</f>
        <v>Wan'DaleRobinson</v>
      </c>
      <c r="J144" s="7">
        <v>0.4</v>
      </c>
      <c r="K144" s="7">
        <v>0.08</v>
      </c>
      <c r="L144" s="2">
        <v>0.0</v>
      </c>
      <c r="M144" s="2">
        <v>18.24</v>
      </c>
      <c r="N144" s="2">
        <v>0.0</v>
      </c>
      <c r="O144" s="2" t="str">
        <f t="array" ref="O144">INDEX('2024_Transactions'!$J$2:$J$339,MATCH(1,('2024_Transactions'!$C$2:$C$339='2024_Roster_Offseason'!$I144)*('2024_Roster_Offseason'!$A144='2024_Transactions'!$B$2:$B$339),0))</f>
        <v>Signed</v>
      </c>
      <c r="P144" s="14">
        <f t="array" ref="P144">IFERROR(INDEX('2024_Draft_team'!$J$2:$J$271,MATCH(1,('2024_Roster_Offseason'!$I144='2024_Draft_team'!$Q$2:$Q$271)*('2024_Roster_Offseason'!$A144='2024_Draft_team'!$B$2:$B$271),0)),15)</f>
        <v>15</v>
      </c>
      <c r="Q144" s="9" t="s">
        <v>34</v>
      </c>
    </row>
    <row r="145" ht="14.25" customHeight="1">
      <c r="A145" s="3" t="s">
        <v>7</v>
      </c>
      <c r="B145" s="3" t="s">
        <v>46</v>
      </c>
      <c r="C145" s="3" t="s">
        <v>326</v>
      </c>
      <c r="D145" s="3" t="s">
        <v>215</v>
      </c>
      <c r="E145" s="3" t="s">
        <v>46</v>
      </c>
      <c r="F145" s="3" t="s">
        <v>32</v>
      </c>
      <c r="G145" s="3" t="s">
        <v>49</v>
      </c>
      <c r="H145" s="3"/>
      <c r="I145" s="3" t="str">
        <f>'2024_Roster_Offseason'!$C145&amp;'2024_Roster_Offseason'!$D145</f>
        <v>GarrettWilson</v>
      </c>
      <c r="J145" s="10">
        <v>0.99</v>
      </c>
      <c r="K145" s="10">
        <v>0.71</v>
      </c>
      <c r="L145" s="3">
        <v>0.0</v>
      </c>
      <c r="M145" s="3">
        <v>24.0</v>
      </c>
      <c r="N145" s="3">
        <v>0.0</v>
      </c>
      <c r="O145" s="3" t="str">
        <f t="array" ref="O145">INDEX('2024_Transactions'!$J$2:$J$339,MATCH(1,('2024_Transactions'!$C$2:$C$339='2024_Roster_Offseason'!$I145)*('2024_Roster_Offseason'!$A145='2024_Transactions'!$B$2:$B$339),0))</f>
        <v>#N/A</v>
      </c>
      <c r="P145" s="11">
        <f t="array" ref="P145">INDEX('2024_Draft_team'!$J$2:$J$271,MATCH(1,('2024_Roster_Offseason'!$I145='2024_Draft_team'!$Q$2:$Q$271)*('2024_Roster_Offseason'!$A145='2024_Draft_team'!$B$2:$B$271),0))</f>
        <v>1</v>
      </c>
      <c r="Q145" s="12" t="s">
        <v>34</v>
      </c>
    </row>
    <row r="146" ht="14.25" customHeight="1">
      <c r="A146" s="2" t="s">
        <v>7</v>
      </c>
      <c r="B146" s="2" t="s">
        <v>59</v>
      </c>
      <c r="C146" s="2" t="s">
        <v>309</v>
      </c>
      <c r="D146" s="2" t="s">
        <v>327</v>
      </c>
      <c r="E146" s="2" t="s">
        <v>59</v>
      </c>
      <c r="F146" s="2" t="s">
        <v>32</v>
      </c>
      <c r="G146" s="2" t="s">
        <v>105</v>
      </c>
      <c r="H146" s="2"/>
      <c r="I146" s="2" t="str">
        <f>'2024_Roster_Offseason'!$C146&amp;'2024_Roster_Offseason'!$D146</f>
        <v>JulianBlackmon</v>
      </c>
      <c r="J146" s="7">
        <v>0.12</v>
      </c>
      <c r="K146" s="7">
        <v>0.04</v>
      </c>
      <c r="L146" s="2">
        <v>0.0</v>
      </c>
      <c r="M146" s="2">
        <v>17.0</v>
      </c>
      <c r="N146" s="2">
        <v>0.0</v>
      </c>
      <c r="O146" s="2" t="str">
        <f t="array" ref="O146">INDEX('2024_Transactions'!$J$2:$J$339,MATCH(1,('2024_Transactions'!$C$2:$C$339='2024_Roster_Offseason'!$I146)*('2024_Roster_Offseason'!$A146='2024_Transactions'!$B$2:$B$339),0))</f>
        <v>Signed</v>
      </c>
      <c r="P146" s="14">
        <f t="array" ref="P146">IFERROR(INDEX('2024_Draft_team'!$J$2:$J$271,MATCH(1,('2024_Roster_Offseason'!$I146='2024_Draft_team'!$Q$2:$Q$271)*('2024_Roster_Offseason'!$A146='2024_Draft_team'!$B$2:$B$271),0)),15)</f>
        <v>15</v>
      </c>
      <c r="Q146" s="9" t="s">
        <v>34</v>
      </c>
    </row>
    <row r="147" ht="14.25" customHeight="1">
      <c r="A147" s="3" t="s">
        <v>7</v>
      </c>
      <c r="B147" s="3" t="s">
        <v>59</v>
      </c>
      <c r="C147" s="3" t="s">
        <v>158</v>
      </c>
      <c r="D147" s="3" t="s">
        <v>328</v>
      </c>
      <c r="E147" s="3" t="s">
        <v>59</v>
      </c>
      <c r="F147" s="3" t="s">
        <v>32</v>
      </c>
      <c r="G147" s="3" t="s">
        <v>82</v>
      </c>
      <c r="H147" s="3"/>
      <c r="I147" s="3" t="str">
        <f>'2024_Roster_Offseason'!$C147&amp;'2024_Roster_Offseason'!$D147</f>
        <v>BrianBurns</v>
      </c>
      <c r="J147" s="10">
        <v>0.8</v>
      </c>
      <c r="K147" s="10">
        <v>0.68</v>
      </c>
      <c r="L147" s="3">
        <v>0.0</v>
      </c>
      <c r="M147" s="3">
        <v>17.18</v>
      </c>
      <c r="N147" s="3">
        <v>0.0</v>
      </c>
      <c r="O147" s="3" t="str">
        <f t="array" ref="O147">INDEX('2024_Transactions'!$J$2:$J$339,MATCH(1,('2024_Transactions'!$C$2:$C$339='2024_Roster_Offseason'!$I147)*('2024_Roster_Offseason'!$A147='2024_Transactions'!$B$2:$B$339),0))</f>
        <v>Signed</v>
      </c>
      <c r="P147" s="13">
        <f t="array" ref="P147">IFERROR(INDEX('2024_Draft_team'!$J$2:$J$271,MATCH(1,('2024_Roster_Offseason'!$I147='2024_Draft_team'!$Q$2:$Q$271)*('2024_Roster_Offseason'!$A147='2024_Draft_team'!$B$2:$B$271),0)),15)</f>
        <v>15</v>
      </c>
      <c r="Q147" s="12" t="s">
        <v>34</v>
      </c>
    </row>
    <row r="148" ht="14.25" customHeight="1">
      <c r="A148" s="2" t="s">
        <v>7</v>
      </c>
      <c r="B148" s="2" t="s">
        <v>59</v>
      </c>
      <c r="C148" s="2" t="s">
        <v>329</v>
      </c>
      <c r="D148" s="2" t="s">
        <v>187</v>
      </c>
      <c r="E148" s="2" t="s">
        <v>59</v>
      </c>
      <c r="F148" s="2" t="s">
        <v>32</v>
      </c>
      <c r="G148" s="2" t="s">
        <v>179</v>
      </c>
      <c r="H148" s="2"/>
      <c r="I148" s="2" t="str">
        <f>'2024_Roster_Offseason'!$C148&amp;'2024_Roster_Offseason'!$D148</f>
        <v>RoquanSmith</v>
      </c>
      <c r="J148" s="7">
        <v>0.97</v>
      </c>
      <c r="K148" s="7">
        <v>0.76</v>
      </c>
      <c r="L148" s="2">
        <v>0.0</v>
      </c>
      <c r="M148" s="2">
        <v>24.38</v>
      </c>
      <c r="N148" s="2">
        <v>0.0</v>
      </c>
      <c r="O148" s="2" t="str">
        <f t="array" ref="O148">INDEX('2024_Transactions'!$J$2:$J$339,MATCH(1,('2024_Transactions'!$C$2:$C$339='2024_Roster_Offseason'!$I148)*('2024_Roster_Offseason'!$A148='2024_Transactions'!$B$2:$B$339),0))</f>
        <v>#N/A</v>
      </c>
      <c r="P148" s="8" t="str">
        <f t="array" ref="P148">INDEX('2024_Draft_team'!$J$2:$J$271,MATCH(1,('2024_Roster_Offseason'!$I148='2024_Draft_team'!$Q$2:$Q$271)*('2024_Roster_Offseason'!$A148='2024_Draft_team'!$B$2:$B$271),0))</f>
        <v>N/A</v>
      </c>
      <c r="Q148" s="9" t="s">
        <v>34</v>
      </c>
    </row>
    <row r="149" ht="14.25" customHeight="1">
      <c r="A149" s="3" t="s">
        <v>7</v>
      </c>
      <c r="B149" s="3" t="s">
        <v>59</v>
      </c>
      <c r="C149" s="3" t="s">
        <v>330</v>
      </c>
      <c r="D149" s="3" t="s">
        <v>331</v>
      </c>
      <c r="E149" s="3" t="s">
        <v>59</v>
      </c>
      <c r="F149" s="3" t="s">
        <v>32</v>
      </c>
      <c r="G149" s="3" t="s">
        <v>33</v>
      </c>
      <c r="H149" s="3"/>
      <c r="I149" s="3" t="str">
        <f>'2024_Roster_Offseason'!$C149&amp;'2024_Roster_Offseason'!$D149</f>
        <v>PaulsonAdebo</v>
      </c>
      <c r="J149" s="10">
        <v>0.17</v>
      </c>
      <c r="K149" s="10">
        <v>0.02</v>
      </c>
      <c r="L149" s="3">
        <v>0.0</v>
      </c>
      <c r="M149" s="3">
        <v>29.29</v>
      </c>
      <c r="N149" s="3">
        <v>0.0</v>
      </c>
      <c r="O149" s="3" t="str">
        <f t="array" ref="O149">INDEX('2024_Transactions'!$J$2:$J$339,MATCH(1,('2024_Transactions'!$C$2:$C$339='2024_Roster_Offseason'!$I149)*('2024_Roster_Offseason'!$A149='2024_Transactions'!$B$2:$B$339),0))</f>
        <v>Signed</v>
      </c>
      <c r="P149" s="13">
        <f t="array" ref="P149">IFERROR(INDEX('2024_Draft_team'!$J$2:$J$271,MATCH(1,('2024_Roster_Offseason'!$I149='2024_Draft_team'!$Q$2:$Q$271)*('2024_Roster_Offseason'!$A149='2024_Draft_team'!$B$2:$B$271),0)),15)</f>
        <v>15</v>
      </c>
      <c r="Q149" s="12" t="s">
        <v>34</v>
      </c>
    </row>
    <row r="150" ht="14.25" customHeight="1">
      <c r="A150" s="2" t="s">
        <v>7</v>
      </c>
      <c r="B150" s="2" t="s">
        <v>59</v>
      </c>
      <c r="C150" s="2" t="s">
        <v>332</v>
      </c>
      <c r="D150" s="2" t="s">
        <v>333</v>
      </c>
      <c r="E150" s="2" t="s">
        <v>59</v>
      </c>
      <c r="F150" s="2" t="s">
        <v>32</v>
      </c>
      <c r="G150" s="2" t="s">
        <v>141</v>
      </c>
      <c r="H150" s="2"/>
      <c r="I150" s="2" t="str">
        <f>'2024_Roster_Offseason'!$C150&amp;'2024_Roster_Offseason'!$D150</f>
        <v>AidanHutchinson</v>
      </c>
      <c r="J150" s="7">
        <v>0.44</v>
      </c>
      <c r="K150" s="7">
        <v>0.07</v>
      </c>
      <c r="L150" s="2">
        <v>0.0</v>
      </c>
      <c r="M150" s="2">
        <v>26.6</v>
      </c>
      <c r="N150" s="2">
        <v>0.0</v>
      </c>
      <c r="O150" s="2" t="str">
        <f t="array" ref="O150">INDEX('2024_Transactions'!$J$2:$J$339,MATCH(1,('2024_Transactions'!$C$2:$C$339='2024_Roster_Offseason'!$I150)*('2024_Roster_Offseason'!$A150='2024_Transactions'!$B$2:$B$339),0))</f>
        <v>#N/A</v>
      </c>
      <c r="P150" s="8">
        <f t="array" ref="P150">INDEX('2024_Draft_team'!$J$2:$J$271,MATCH(1,('2024_Roster_Offseason'!$I150='2024_Draft_team'!$Q$2:$Q$271)*('2024_Roster_Offseason'!$A150='2024_Draft_team'!$B$2:$B$271),0))</f>
        <v>6</v>
      </c>
      <c r="Q150" s="9" t="s">
        <v>38</v>
      </c>
    </row>
    <row r="151" ht="14.25" customHeight="1">
      <c r="A151" s="3" t="s">
        <v>13</v>
      </c>
      <c r="B151" s="3" t="s">
        <v>29</v>
      </c>
      <c r="C151" s="3" t="s">
        <v>43</v>
      </c>
      <c r="D151" s="3" t="s">
        <v>94</v>
      </c>
      <c r="E151" s="3" t="s">
        <v>29</v>
      </c>
      <c r="F151" s="3" t="s">
        <v>32</v>
      </c>
      <c r="G151" s="3" t="s">
        <v>93</v>
      </c>
      <c r="H151" s="3"/>
      <c r="I151" s="3" t="str">
        <f>'2024_Roster_Offseason'!$C151&amp;'2024_Roster_Offseason'!$D151</f>
        <v>JoshAllen</v>
      </c>
      <c r="J151" s="10">
        <v>1.0</v>
      </c>
      <c r="K151" s="10">
        <v>0.89</v>
      </c>
      <c r="L151" s="3">
        <v>0.0</v>
      </c>
      <c r="M151" s="3">
        <v>54.76</v>
      </c>
      <c r="N151" s="3">
        <v>0.0</v>
      </c>
      <c r="O151" s="3" t="str">
        <f t="array" ref="O151">INDEX('2024_Transactions'!$J$2:$J$339,MATCH(1,('2024_Transactions'!$C$2:$C$339='2024_Roster_Offseason'!$I151)*('2024_Roster_Offseason'!$A151='2024_Transactions'!$B$2:$B$339),0))</f>
        <v>#N/A</v>
      </c>
      <c r="P151" s="11" t="str">
        <f t="array" ref="P151">INDEX('2024_Draft_team'!$J$2:$J$271,MATCH(1,('2024_Roster_Offseason'!$I151='2024_Draft_team'!$Q$2:$Q$271)*('2024_Roster_Offseason'!$A151='2024_Draft_team'!$B$2:$B$271),0))</f>
        <v>N/A</v>
      </c>
      <c r="Q151" s="12" t="s">
        <v>34</v>
      </c>
    </row>
    <row r="152" ht="14.25" customHeight="1">
      <c r="A152" s="2" t="s">
        <v>13</v>
      </c>
      <c r="B152" s="2" t="s">
        <v>29</v>
      </c>
      <c r="C152" s="2" t="s">
        <v>334</v>
      </c>
      <c r="D152" s="2" t="s">
        <v>310</v>
      </c>
      <c r="E152" s="2" t="s">
        <v>29</v>
      </c>
      <c r="F152" s="2" t="s">
        <v>32</v>
      </c>
      <c r="G152" s="2" t="s">
        <v>45</v>
      </c>
      <c r="H152" s="2"/>
      <c r="I152" s="2" t="str">
        <f>'2024_Roster_Offseason'!$C152&amp;'2024_Roster_Offseason'!$D152</f>
        <v>JordanLove</v>
      </c>
      <c r="J152" s="7">
        <v>0.98</v>
      </c>
      <c r="K152" s="7">
        <v>0.58</v>
      </c>
      <c r="L152" s="2">
        <v>0.0</v>
      </c>
      <c r="M152" s="2">
        <v>34.93</v>
      </c>
      <c r="N152" s="2">
        <v>0.0</v>
      </c>
      <c r="O152" s="2" t="str">
        <f t="array" ref="O152">INDEX('2024_Transactions'!$J$2:$J$339,MATCH(1,('2024_Transactions'!$C$2:$C$339='2024_Roster_Offseason'!$I152)*('2024_Roster_Offseason'!$A152='2024_Transactions'!$B$2:$B$339),0))</f>
        <v>#N/A</v>
      </c>
      <c r="P152" s="8">
        <f t="array" ref="P152">INDEX('2024_Draft_team'!$J$2:$J$271,MATCH(1,('2024_Roster_Offseason'!$I152='2024_Draft_team'!$Q$2:$Q$271)*('2024_Roster_Offseason'!$A152='2024_Draft_team'!$B$2:$B$271),0))</f>
        <v>8</v>
      </c>
      <c r="Q152" s="9" t="s">
        <v>38</v>
      </c>
    </row>
    <row r="153" ht="14.25" customHeight="1">
      <c r="A153" s="3" t="s">
        <v>13</v>
      </c>
      <c r="B153" s="3" t="s">
        <v>39</v>
      </c>
      <c r="C153" s="3" t="s">
        <v>306</v>
      </c>
      <c r="D153" s="3" t="s">
        <v>335</v>
      </c>
      <c r="E153" s="3" t="s">
        <v>39</v>
      </c>
      <c r="F153" s="3" t="s">
        <v>32</v>
      </c>
      <c r="G153" s="3" t="s">
        <v>93</v>
      </c>
      <c r="H153" s="3"/>
      <c r="I153" s="3" t="str">
        <f>'2024_Roster_Offseason'!$C153&amp;'2024_Roster_Offseason'!$D153</f>
        <v>JamesCook</v>
      </c>
      <c r="J153" s="10">
        <v>1.0</v>
      </c>
      <c r="K153" s="10">
        <v>0.84</v>
      </c>
      <c r="L153" s="3">
        <v>0.0</v>
      </c>
      <c r="M153" s="3">
        <v>32.5</v>
      </c>
      <c r="N153" s="3">
        <v>0.0</v>
      </c>
      <c r="O153" s="3" t="str">
        <f t="array" ref="O153">INDEX('2024_Transactions'!$J$2:$J$339,MATCH(1,('2024_Transactions'!$C$2:$C$339='2024_Roster_Offseason'!$I153)*('2024_Roster_Offseason'!$A153='2024_Transactions'!$B$2:$B$339),0))</f>
        <v>#N/A</v>
      </c>
      <c r="P153" s="11">
        <f t="array" ref="P153">INDEX('2024_Draft_team'!$J$2:$J$271,MATCH(1,('2024_Roster_Offseason'!$I153='2024_Draft_team'!$Q$2:$Q$271)*('2024_Roster_Offseason'!$A153='2024_Draft_team'!$B$2:$B$271),0))</f>
        <v>11</v>
      </c>
      <c r="Q153" s="12" t="s">
        <v>38</v>
      </c>
    </row>
    <row r="154" ht="14.25" customHeight="1">
      <c r="A154" s="2" t="s">
        <v>13</v>
      </c>
      <c r="B154" s="2" t="s">
        <v>39</v>
      </c>
      <c r="C154" s="2" t="s">
        <v>336</v>
      </c>
      <c r="D154" s="2" t="s">
        <v>159</v>
      </c>
      <c r="E154" s="2" t="s">
        <v>39</v>
      </c>
      <c r="F154" s="2" t="s">
        <v>32</v>
      </c>
      <c r="G154" s="2" t="s">
        <v>63</v>
      </c>
      <c r="H154" s="2"/>
      <c r="I154" s="2" t="str">
        <f>'2024_Roster_Offseason'!$C154&amp;'2024_Roster_Offseason'!$D154</f>
        <v>BijanRobinson</v>
      </c>
      <c r="J154" s="7">
        <v>1.0</v>
      </c>
      <c r="K154" s="7">
        <v>0.99</v>
      </c>
      <c r="L154" s="2">
        <v>0.0</v>
      </c>
      <c r="M154" s="2">
        <v>31.53</v>
      </c>
      <c r="N154" s="2">
        <v>0.0</v>
      </c>
      <c r="O154" s="2" t="str">
        <f t="array" ref="O154">INDEX('2024_Transactions'!$J$2:$J$339,MATCH(1,('2024_Transactions'!$C$2:$C$339='2024_Roster_Offseason'!$I154)*('2024_Roster_Offseason'!$A154='2024_Transactions'!$B$2:$B$339),0))</f>
        <v>#N/A</v>
      </c>
      <c r="P154" s="8" t="str">
        <f t="array" ref="P154">INDEX('2024_Draft_team'!$J$2:$J$271,MATCH(1,('2024_Roster_Offseason'!$I154='2024_Draft_team'!$Q$2:$Q$271)*('2024_Roster_Offseason'!$A154='2024_Draft_team'!$B$2:$B$271),0))</f>
        <v>N/A</v>
      </c>
      <c r="Q154" s="9" t="s">
        <v>34</v>
      </c>
    </row>
    <row r="155" ht="14.25" customHeight="1">
      <c r="A155" s="3" t="s">
        <v>13</v>
      </c>
      <c r="B155" s="3" t="s">
        <v>46</v>
      </c>
      <c r="C155" s="3" t="s">
        <v>334</v>
      </c>
      <c r="D155" s="3" t="s">
        <v>337</v>
      </c>
      <c r="E155" s="3" t="s">
        <v>46</v>
      </c>
      <c r="F155" s="3" t="s">
        <v>32</v>
      </c>
      <c r="G155" s="3" t="s">
        <v>79</v>
      </c>
      <c r="H155" s="3"/>
      <c r="I155" s="3" t="str">
        <f>'2024_Roster_Offseason'!$C155&amp;'2024_Roster_Offseason'!$D155</f>
        <v>JordanAddison</v>
      </c>
      <c r="J155" s="10">
        <v>0.98</v>
      </c>
      <c r="K155" s="10">
        <v>0.81</v>
      </c>
      <c r="L155" s="3">
        <v>0.0</v>
      </c>
      <c r="M155" s="3">
        <v>23.6</v>
      </c>
      <c r="N155" s="3">
        <v>0.0</v>
      </c>
      <c r="O155" s="3" t="str">
        <f t="array" ref="O155">INDEX('2024_Transactions'!$J$2:$J$339,MATCH(1,('2024_Transactions'!$C$2:$C$339='2024_Roster_Offseason'!$I155)*('2024_Roster_Offseason'!$A155='2024_Transactions'!$B$2:$B$339),0))</f>
        <v>Signed</v>
      </c>
      <c r="P155" s="13">
        <v>15.0</v>
      </c>
      <c r="Q155" s="12" t="s">
        <v>34</v>
      </c>
    </row>
    <row r="156" ht="14.25" customHeight="1">
      <c r="A156" s="2" t="s">
        <v>13</v>
      </c>
      <c r="B156" s="2" t="s">
        <v>46</v>
      </c>
      <c r="C156" s="2" t="s">
        <v>338</v>
      </c>
      <c r="D156" s="2" t="s">
        <v>339</v>
      </c>
      <c r="E156" s="2" t="s">
        <v>46</v>
      </c>
      <c r="F156" s="2" t="s">
        <v>32</v>
      </c>
      <c r="G156" s="2" t="s">
        <v>179</v>
      </c>
      <c r="H156" s="2"/>
      <c r="I156" s="2" t="str">
        <f>'2024_Roster_Offseason'!$C156&amp;'2024_Roster_Offseason'!$D156</f>
        <v>MarkAndrews</v>
      </c>
      <c r="J156" s="7">
        <v>0.97</v>
      </c>
      <c r="K156" s="7">
        <v>0.66</v>
      </c>
      <c r="L156" s="2">
        <v>0.0</v>
      </c>
      <c r="M156" s="2">
        <v>20.47</v>
      </c>
      <c r="N156" s="2">
        <v>0.0</v>
      </c>
      <c r="O156" s="2" t="str">
        <f t="array" ref="O156">INDEX('2024_Transactions'!$J$2:$J$339,MATCH(1,('2024_Transactions'!$C$2:$C$339='2024_Roster_Offseason'!$I156)*('2024_Roster_Offseason'!$A156='2024_Transactions'!$B$2:$B$339),0))</f>
        <v>Signed</v>
      </c>
      <c r="P156" s="14">
        <f t="array" ref="P156">IFERROR(INDEX('2024_Draft_team'!$J$2:$J$271,MATCH(1,('2024_Roster_Offseason'!$I156='2024_Draft_team'!$Q$2:$Q$271)*('2024_Roster_Offseason'!$A156='2024_Draft_team'!$B$2:$B$271),0)),15)</f>
        <v>15</v>
      </c>
      <c r="Q156" s="9" t="s">
        <v>34</v>
      </c>
    </row>
    <row r="157" ht="14.25" customHeight="1">
      <c r="A157" s="3" t="s">
        <v>13</v>
      </c>
      <c r="B157" s="3" t="s">
        <v>46</v>
      </c>
      <c r="C157" s="3" t="s">
        <v>340</v>
      </c>
      <c r="D157" s="3" t="s">
        <v>341</v>
      </c>
      <c r="E157" s="3" t="s">
        <v>46</v>
      </c>
      <c r="F157" s="3" t="s">
        <v>32</v>
      </c>
      <c r="G157" s="3" t="s">
        <v>82</v>
      </c>
      <c r="H157" s="3"/>
      <c r="I157" s="3" t="str">
        <f>'2024_Roster_Offseason'!$C157&amp;'2024_Roster_Offseason'!$D157</f>
        <v>MalikNabers</v>
      </c>
      <c r="J157" s="10">
        <v>0.98</v>
      </c>
      <c r="K157" s="10">
        <v>0.78</v>
      </c>
      <c r="L157" s="3">
        <v>0.0</v>
      </c>
      <c r="M157" s="3">
        <v>27.73</v>
      </c>
      <c r="N157" s="3">
        <v>0.0</v>
      </c>
      <c r="O157" s="3" t="str">
        <f t="array" ref="O157">INDEX('2024_Transactions'!$J$2:$J$339,MATCH(1,('2024_Transactions'!$C$2:$C$339='2024_Roster_Offseason'!$I157)*('2024_Roster_Offseason'!$A157='2024_Transactions'!$B$2:$B$339),0))</f>
        <v>#N/A</v>
      </c>
      <c r="P157" s="11">
        <f t="array" ref="P157">INDEX('2024_Draft_team'!$J$2:$J$271,MATCH(1,('2024_Roster_Offseason'!$I157='2024_Draft_team'!$Q$2:$Q$271)*('2024_Roster_Offseason'!$A157='2024_Draft_team'!$B$2:$B$271),0))</f>
        <v>4</v>
      </c>
      <c r="Q157" s="12" t="s">
        <v>38</v>
      </c>
    </row>
    <row r="158" ht="14.25" customHeight="1">
      <c r="A158" s="2" t="s">
        <v>13</v>
      </c>
      <c r="B158" s="2" t="s">
        <v>55</v>
      </c>
      <c r="C158" s="2" t="s">
        <v>280</v>
      </c>
      <c r="D158" s="2" t="s">
        <v>342</v>
      </c>
      <c r="E158" s="2" t="s">
        <v>55</v>
      </c>
      <c r="F158" s="2" t="s">
        <v>32</v>
      </c>
      <c r="G158" s="2" t="s">
        <v>93</v>
      </c>
      <c r="H158" s="2"/>
      <c r="I158" s="2" t="str">
        <f>'2024_Roster_Offseason'!$C158&amp;'2024_Roster_Offseason'!$D158</f>
        <v>TylerBass</v>
      </c>
      <c r="J158" s="7">
        <v>0.9</v>
      </c>
      <c r="K158" s="7">
        <v>0.75</v>
      </c>
      <c r="L158" s="2">
        <v>0.0</v>
      </c>
      <c r="M158" s="2">
        <v>19.47</v>
      </c>
      <c r="N158" s="2">
        <v>0.0</v>
      </c>
      <c r="O158" s="2" t="str">
        <f t="array" ref="O158">INDEX('2024_Transactions'!$J$2:$J$339,MATCH(1,('2024_Transactions'!$C$2:$C$339='2024_Roster_Offseason'!$I158)*('2024_Roster_Offseason'!$A158='2024_Transactions'!$B$2:$B$339),0))</f>
        <v>Signed</v>
      </c>
      <c r="P158" s="14">
        <f t="array" ref="P158">IFERROR(INDEX('2024_Draft_team'!$J$2:$J$271,MATCH(1,('2024_Roster_Offseason'!$I158='2024_Draft_team'!$Q$2:$Q$271)*('2024_Roster_Offseason'!$A158='2024_Draft_team'!$B$2:$B$271),0)),15)</f>
        <v>15</v>
      </c>
      <c r="Q158" s="9" t="s">
        <v>34</v>
      </c>
    </row>
    <row r="159" ht="14.25" customHeight="1">
      <c r="A159" s="3" t="s">
        <v>13</v>
      </c>
      <c r="B159" s="3" t="s">
        <v>59</v>
      </c>
      <c r="C159" s="3" t="s">
        <v>343</v>
      </c>
      <c r="D159" s="3" t="s">
        <v>344</v>
      </c>
      <c r="E159" s="3" t="s">
        <v>59</v>
      </c>
      <c r="F159" s="3" t="s">
        <v>32</v>
      </c>
      <c r="G159" s="3" t="s">
        <v>93</v>
      </c>
      <c r="H159" s="3"/>
      <c r="I159" s="3" t="str">
        <f>'2024_Roster_Offseason'!$C159&amp;'2024_Roster_Offseason'!$D159</f>
        <v>TerrelBernard</v>
      </c>
      <c r="J159" s="10">
        <v>0.45</v>
      </c>
      <c r="K159" s="10">
        <v>0.3</v>
      </c>
      <c r="L159" s="3">
        <v>0.0</v>
      </c>
      <c r="M159" s="3">
        <v>24.08</v>
      </c>
      <c r="N159" s="3">
        <v>0.0</v>
      </c>
      <c r="O159" s="3" t="str">
        <f t="array" ref="O159">INDEX('2024_Transactions'!$J$2:$J$339,MATCH(1,('2024_Transactions'!$C$2:$C$339='2024_Roster_Offseason'!$I159)*('2024_Roster_Offseason'!$A159='2024_Transactions'!$B$2:$B$339),0))</f>
        <v>#N/A</v>
      </c>
      <c r="P159" s="11">
        <f t="array" ref="P159">INDEX('2024_Draft_team'!$J$2:$J$271,MATCH(1,('2024_Roster_Offseason'!$I159='2024_Draft_team'!$Q$2:$Q$271)*('2024_Roster_Offseason'!$A159='2024_Draft_team'!$B$2:$B$271),0))</f>
        <v>18</v>
      </c>
      <c r="Q159" s="12" t="s">
        <v>38</v>
      </c>
    </row>
    <row r="160" ht="14.25" customHeight="1">
      <c r="A160" s="2" t="s">
        <v>13</v>
      </c>
      <c r="B160" s="2" t="s">
        <v>59</v>
      </c>
      <c r="C160" s="2" t="s">
        <v>40</v>
      </c>
      <c r="D160" s="2" t="s">
        <v>345</v>
      </c>
      <c r="E160" s="2" t="s">
        <v>59</v>
      </c>
      <c r="F160" s="2" t="s">
        <v>32</v>
      </c>
      <c r="G160" s="2" t="s">
        <v>90</v>
      </c>
      <c r="H160" s="2"/>
      <c r="I160" s="2" t="str">
        <f>'2024_Roster_Offseason'!$C160&amp;'2024_Roster_Offseason'!$D160</f>
        <v>NickBolton</v>
      </c>
      <c r="J160" s="7">
        <v>0.85</v>
      </c>
      <c r="K160" s="7">
        <v>0.69</v>
      </c>
      <c r="L160" s="2">
        <v>21.0</v>
      </c>
      <c r="M160" s="2">
        <v>24.0</v>
      </c>
      <c r="N160" s="2">
        <v>0.0</v>
      </c>
      <c r="O160" s="2" t="str">
        <f t="array" ref="O160">INDEX('2024_Transactions'!$J$2:$J$339,MATCH(1,('2024_Transactions'!$C$2:$C$339='2024_Roster_Offseason'!$I160)*('2024_Roster_Offseason'!$A160='2024_Transactions'!$B$2:$B$339),0))</f>
        <v>#N/A</v>
      </c>
      <c r="P160" s="8" t="str">
        <f t="array" ref="P160">INDEX('2024_Draft_team'!$J$2:$J$271,MATCH(1,('2024_Roster_Offseason'!$I160='2024_Draft_team'!$Q$2:$Q$271)*('2024_Roster_Offseason'!$A160='2024_Draft_team'!$B$2:$B$271),0))</f>
        <v>N/A</v>
      </c>
      <c r="Q160" s="9" t="s">
        <v>34</v>
      </c>
    </row>
    <row r="161" ht="14.25" customHeight="1">
      <c r="A161" s="3" t="s">
        <v>13</v>
      </c>
      <c r="B161" s="3" t="s">
        <v>59</v>
      </c>
      <c r="C161" s="3" t="s">
        <v>346</v>
      </c>
      <c r="D161" s="3" t="s">
        <v>92</v>
      </c>
      <c r="E161" s="3" t="s">
        <v>59</v>
      </c>
      <c r="F161" s="3" t="s">
        <v>32</v>
      </c>
      <c r="G161" s="3" t="s">
        <v>45</v>
      </c>
      <c r="H161" s="3"/>
      <c r="I161" s="3" t="str">
        <f>'2024_Roster_Offseason'!$C161&amp;'2024_Roster_Offseason'!$D161</f>
        <v>EdgerrinCooper</v>
      </c>
      <c r="J161" s="10">
        <v>0.33</v>
      </c>
      <c r="K161" s="10">
        <v>0.21</v>
      </c>
      <c r="L161" s="3">
        <v>0.0</v>
      </c>
      <c r="M161" s="3">
        <v>21.36</v>
      </c>
      <c r="N161" s="3">
        <v>0.0</v>
      </c>
      <c r="O161" s="3" t="str">
        <f t="array" ref="O161">INDEX('2024_Transactions'!$J$2:$J$339,MATCH(1,('2024_Transactions'!$C$2:$C$339='2024_Roster_Offseason'!$I161)*('2024_Roster_Offseason'!$A161='2024_Transactions'!$B$2:$B$339),0))</f>
        <v>Signed</v>
      </c>
      <c r="P161" s="13">
        <f t="array" ref="P161">IFERROR(INDEX('2024_Draft_team'!$J$2:$J$271,MATCH(1,('2024_Roster_Offseason'!$I161='2024_Draft_team'!$Q$2:$Q$271)*('2024_Roster_Offseason'!$A161='2024_Draft_team'!$B$2:$B$271),0)),15)</f>
        <v>15</v>
      </c>
      <c r="Q161" s="12" t="s">
        <v>38</v>
      </c>
    </row>
    <row r="162" ht="14.25" customHeight="1">
      <c r="A162" s="2" t="s">
        <v>13</v>
      </c>
      <c r="B162" s="2" t="s">
        <v>59</v>
      </c>
      <c r="C162" s="2" t="s">
        <v>278</v>
      </c>
      <c r="D162" s="2" t="s">
        <v>273</v>
      </c>
      <c r="E162" s="2" t="s">
        <v>59</v>
      </c>
      <c r="F162" s="2" t="s">
        <v>32</v>
      </c>
      <c r="G162" s="2" t="s">
        <v>66</v>
      </c>
      <c r="H162" s="2"/>
      <c r="I162" s="2" t="str">
        <f>'2024_Roster_Offseason'!$C162&amp;'2024_Roster_Offseason'!$D162</f>
        <v>T.J.Edwards</v>
      </c>
      <c r="J162" s="7">
        <v>0.87</v>
      </c>
      <c r="K162" s="7">
        <v>0.73</v>
      </c>
      <c r="L162" s="2">
        <v>0.0</v>
      </c>
      <c r="M162" s="2">
        <v>22.18</v>
      </c>
      <c r="N162" s="2">
        <v>0.0</v>
      </c>
      <c r="O162" s="2" t="str">
        <f t="array" ref="O162">INDEX('2024_Transactions'!$J$2:$J$339,MATCH(1,('2024_Transactions'!$C$2:$C$339='2024_Roster_Offseason'!$I162)*('2024_Roster_Offseason'!$A162='2024_Transactions'!$B$2:$B$339),0))</f>
        <v>#N/A</v>
      </c>
      <c r="P162" s="8">
        <f t="array" ref="P162">INDEX('2024_Draft_team'!$J$2:$J$271,MATCH(1,('2024_Roster_Offseason'!$I162='2024_Draft_team'!$Q$2:$Q$271)*('2024_Roster_Offseason'!$A162='2024_Draft_team'!$B$2:$B$271),0))</f>
        <v>3</v>
      </c>
      <c r="Q162" s="9" t="s">
        <v>34</v>
      </c>
    </row>
    <row r="163" ht="14.25" customHeight="1">
      <c r="A163" s="3" t="s">
        <v>13</v>
      </c>
      <c r="B163" s="3" t="s">
        <v>59</v>
      </c>
      <c r="C163" s="3" t="s">
        <v>347</v>
      </c>
      <c r="D163" s="3" t="s">
        <v>348</v>
      </c>
      <c r="E163" s="3" t="s">
        <v>59</v>
      </c>
      <c r="F163" s="3" t="s">
        <v>32</v>
      </c>
      <c r="G163" s="3" t="s">
        <v>172</v>
      </c>
      <c r="H163" s="3"/>
      <c r="I163" s="3" t="str">
        <f>'2024_Roster_Offseason'!$C163&amp;'2024_Roster_Offseason'!$D163</f>
        <v>DanielleHunter</v>
      </c>
      <c r="J163" s="10">
        <v>0.67</v>
      </c>
      <c r="K163" s="10">
        <v>0.44</v>
      </c>
      <c r="L163" s="3">
        <v>0.0</v>
      </c>
      <c r="M163" s="3">
        <v>16.76</v>
      </c>
      <c r="N163" s="3">
        <v>0.0</v>
      </c>
      <c r="O163" s="3" t="str">
        <f t="array" ref="O163">INDEX('2024_Transactions'!$J$2:$J$339,MATCH(1,('2024_Transactions'!$C$2:$C$339='2024_Roster_Offseason'!$I163)*('2024_Roster_Offseason'!$A163='2024_Transactions'!$B$2:$B$339),0))</f>
        <v>#N/A</v>
      </c>
      <c r="P163" s="11">
        <f t="array" ref="P163">INDEX('2024_Draft_team'!$J$2:$J$271,MATCH(1,('2024_Roster_Offseason'!$I163='2024_Draft_team'!$Q$2:$Q$271)*('2024_Roster_Offseason'!$A163='2024_Draft_team'!$B$2:$B$271),0))</f>
        <v>15</v>
      </c>
      <c r="Q163" s="12" t="s">
        <v>34</v>
      </c>
    </row>
    <row r="164" ht="14.25" customHeight="1">
      <c r="A164" s="2" t="s">
        <v>13</v>
      </c>
      <c r="B164" s="2" t="s">
        <v>59</v>
      </c>
      <c r="C164" s="2" t="s">
        <v>349</v>
      </c>
      <c r="D164" s="2" t="s">
        <v>350</v>
      </c>
      <c r="E164" s="2" t="s">
        <v>59</v>
      </c>
      <c r="F164" s="2" t="s">
        <v>32</v>
      </c>
      <c r="G164" s="2" t="s">
        <v>105</v>
      </c>
      <c r="H164" s="2"/>
      <c r="I164" s="2" t="str">
        <f>'2024_Roster_Offseason'!$C164&amp;'2024_Roster_Offseason'!$D164</f>
        <v>E.J.Speed</v>
      </c>
      <c r="J164" s="7">
        <v>0.61</v>
      </c>
      <c r="K164" s="7">
        <v>0.27</v>
      </c>
      <c r="L164" s="2">
        <v>0.0</v>
      </c>
      <c r="M164" s="2">
        <v>24.47</v>
      </c>
      <c r="N164" s="2">
        <v>0.0</v>
      </c>
      <c r="O164" s="2" t="str">
        <f t="array" ref="O164">INDEX('2024_Transactions'!$J$2:$J$339,MATCH(1,('2024_Transactions'!$C$2:$C$339='2024_Roster_Offseason'!$I164)*('2024_Roster_Offseason'!$A164='2024_Transactions'!$B$2:$B$339),0))</f>
        <v>#N/A</v>
      </c>
      <c r="P164" s="8">
        <f t="array" ref="P164">INDEX('2024_Draft_team'!$J$2:$J$271,MATCH(1,('2024_Roster_Offseason'!$I164='2024_Draft_team'!$Q$2:$Q$271)*('2024_Roster_Offseason'!$A164='2024_Draft_team'!$B$2:$B$271),0))</f>
        <v>6</v>
      </c>
      <c r="Q164" s="9" t="s">
        <v>34</v>
      </c>
    </row>
    <row r="165" ht="14.25" customHeight="1">
      <c r="A165" s="3" t="s">
        <v>13</v>
      </c>
      <c r="B165" s="3" t="s">
        <v>59</v>
      </c>
      <c r="C165" s="3" t="s">
        <v>351</v>
      </c>
      <c r="D165" s="3" t="s">
        <v>352</v>
      </c>
      <c r="E165" s="3" t="s">
        <v>59</v>
      </c>
      <c r="F165" s="3" t="s">
        <v>32</v>
      </c>
      <c r="G165" s="3" t="s">
        <v>76</v>
      </c>
      <c r="H165" s="3"/>
      <c r="I165" s="3" t="str">
        <f>'2024_Roster_Offseason'!$C165&amp;'2024_Roster_Offseason'!$D165</f>
        <v>RobertSpillane</v>
      </c>
      <c r="J165" s="10">
        <v>0.87</v>
      </c>
      <c r="K165" s="10">
        <v>0.74</v>
      </c>
      <c r="L165" s="3">
        <v>0.0</v>
      </c>
      <c r="M165" s="3">
        <v>24.94</v>
      </c>
      <c r="N165" s="3">
        <v>0.0</v>
      </c>
      <c r="O165" s="3" t="str">
        <f t="array" ref="O165">INDEX('2024_Transactions'!$J$2:$J$339,MATCH(1,('2024_Transactions'!$C$2:$C$339='2024_Roster_Offseason'!$I165)*('2024_Roster_Offseason'!$A165='2024_Transactions'!$B$2:$B$339),0))</f>
        <v>#N/A</v>
      </c>
      <c r="P165" s="11">
        <f t="array" ref="P165">INDEX('2024_Draft_team'!$J$2:$J$271,MATCH(1,('2024_Roster_Offseason'!$I165='2024_Draft_team'!$Q$2:$Q$271)*('2024_Roster_Offseason'!$A165='2024_Draft_team'!$B$2:$B$271),0))</f>
        <v>16</v>
      </c>
      <c r="Q165" s="12" t="s">
        <v>38</v>
      </c>
    </row>
    <row r="166" ht="14.25" customHeight="1">
      <c r="A166" s="2" t="s">
        <v>13</v>
      </c>
      <c r="B166" s="2" t="s">
        <v>29</v>
      </c>
      <c r="C166" s="2" t="s">
        <v>353</v>
      </c>
      <c r="D166" s="2" t="s">
        <v>242</v>
      </c>
      <c r="E166" s="2" t="s">
        <v>29</v>
      </c>
      <c r="F166" s="2" t="s">
        <v>32</v>
      </c>
      <c r="G166" s="2" t="s">
        <v>213</v>
      </c>
      <c r="H166" s="2"/>
      <c r="I166" s="2" t="str">
        <f>'2024_Roster_Offseason'!$C166&amp;'2024_Roster_Offseason'!$D166</f>
        <v>KylerMurray</v>
      </c>
      <c r="J166" s="7">
        <v>0.98</v>
      </c>
      <c r="K166" s="7">
        <v>0.65</v>
      </c>
      <c r="L166" s="2">
        <v>0.0</v>
      </c>
      <c r="M166" s="2">
        <v>38.76</v>
      </c>
      <c r="N166" s="2">
        <v>0.0</v>
      </c>
      <c r="O166" s="2" t="str">
        <f t="array" ref="O166">INDEX('2024_Transactions'!$J$2:$J$339,MATCH(1,('2024_Transactions'!$C$2:$C$339='2024_Roster_Offseason'!$I166)*('2024_Roster_Offseason'!$A166='2024_Transactions'!$B$2:$B$339),0))</f>
        <v>#N/A</v>
      </c>
      <c r="P166" s="8">
        <f t="array" ref="P166">INDEX('2024_Draft_team'!$J$2:$J$271,MATCH(1,('2024_Roster_Offseason'!$I166='2024_Draft_team'!$Q$2:$Q$271)*('2024_Roster_Offseason'!$A166='2024_Draft_team'!$B$2:$B$271),0))</f>
        <v>13</v>
      </c>
      <c r="Q166" s="9" t="s">
        <v>38</v>
      </c>
    </row>
    <row r="167" ht="14.25" customHeight="1">
      <c r="A167" s="3" t="s">
        <v>13</v>
      </c>
      <c r="B167" s="3" t="s">
        <v>39</v>
      </c>
      <c r="C167" s="3" t="s">
        <v>354</v>
      </c>
      <c r="D167" s="3" t="s">
        <v>355</v>
      </c>
      <c r="E167" s="3" t="s">
        <v>39</v>
      </c>
      <c r="F167" s="3" t="s">
        <v>32</v>
      </c>
      <c r="G167" s="3" t="s">
        <v>79</v>
      </c>
      <c r="H167" s="3"/>
      <c r="I167" s="3" t="str">
        <f>'2024_Roster_Offseason'!$C167&amp;'2024_Roster_Offseason'!$D167</f>
        <v>CamAkers</v>
      </c>
      <c r="J167" s="10">
        <v>0.41</v>
      </c>
      <c r="K167" s="10">
        <v>0.06</v>
      </c>
      <c r="L167" s="3">
        <v>0.0</v>
      </c>
      <c r="M167" s="3">
        <v>8.59</v>
      </c>
      <c r="N167" s="3">
        <v>0.0</v>
      </c>
      <c r="O167" s="3" t="str">
        <f t="array" ref="O167">INDEX('2024_Transactions'!$J$2:$J$339,MATCH(1,('2024_Transactions'!$C$2:$C$339='2024_Roster_Offseason'!$I167)*('2024_Roster_Offseason'!$A167='2024_Transactions'!$B$2:$B$339),0))</f>
        <v>Signed</v>
      </c>
      <c r="P167" s="13">
        <f t="array" ref="P167">IFERROR(INDEX('2024_Draft_team'!$J$2:$J$271,MATCH(1,('2024_Roster_Offseason'!$I167='2024_Draft_team'!$Q$2:$Q$271)*('2024_Roster_Offseason'!$A167='2024_Draft_team'!$B$2:$B$271),0)),15)</f>
        <v>15</v>
      </c>
      <c r="Q167" s="12" t="s">
        <v>34</v>
      </c>
    </row>
    <row r="168" ht="14.25" customHeight="1">
      <c r="A168" s="2" t="s">
        <v>13</v>
      </c>
      <c r="B168" s="2" t="s">
        <v>46</v>
      </c>
      <c r="C168" s="2" t="s">
        <v>356</v>
      </c>
      <c r="D168" s="2" t="s">
        <v>357</v>
      </c>
      <c r="E168" s="2" t="s">
        <v>46</v>
      </c>
      <c r="F168" s="2" t="s">
        <v>32</v>
      </c>
      <c r="G168" s="2" t="s">
        <v>93</v>
      </c>
      <c r="H168" s="2"/>
      <c r="I168" s="2" t="str">
        <f>'2024_Roster_Offseason'!$C168&amp;'2024_Roster_Offseason'!$D168</f>
        <v>KeonColeman</v>
      </c>
      <c r="J168" s="7">
        <v>0.62</v>
      </c>
      <c r="K168" s="7">
        <v>0.1</v>
      </c>
      <c r="L168" s="2">
        <v>0.0</v>
      </c>
      <c r="M168" s="2">
        <v>15.23</v>
      </c>
      <c r="N168" s="2">
        <v>0.0</v>
      </c>
      <c r="O168" s="2" t="str">
        <f t="array" ref="O168">INDEX('2024_Transactions'!$J$2:$J$339,MATCH(1,('2024_Transactions'!$C$2:$C$339='2024_Roster_Offseason'!$I168)*('2024_Roster_Offseason'!$A168='2024_Transactions'!$B$2:$B$339),0))</f>
        <v>#N/A</v>
      </c>
      <c r="P168" s="8">
        <f t="array" ref="P168">INDEX('2024_Draft_team'!$J$2:$J$271,MATCH(1,('2024_Roster_Offseason'!$I168='2024_Draft_team'!$Q$2:$Q$271)*('2024_Roster_Offseason'!$A168='2024_Draft_team'!$B$2:$B$271),0))</f>
        <v>13</v>
      </c>
      <c r="Q168" s="9" t="s">
        <v>34</v>
      </c>
    </row>
    <row r="169" ht="14.25" customHeight="1">
      <c r="A169" s="3" t="s">
        <v>13</v>
      </c>
      <c r="B169" s="3" t="s">
        <v>46</v>
      </c>
      <c r="C169" s="3" t="s">
        <v>358</v>
      </c>
      <c r="D169" s="3" t="s">
        <v>359</v>
      </c>
      <c r="E169" s="3" t="s">
        <v>46</v>
      </c>
      <c r="F169" s="3" t="s">
        <v>32</v>
      </c>
      <c r="G169" s="3" t="s">
        <v>42</v>
      </c>
      <c r="H169" s="3"/>
      <c r="I169" s="3" t="str">
        <f>'2024_Roster_Offseason'!$C169&amp;'2024_Roster_Offseason'!$D169</f>
        <v>JerryJeudy</v>
      </c>
      <c r="J169" s="10">
        <v>0.94</v>
      </c>
      <c r="K169" s="10">
        <v>0.57</v>
      </c>
      <c r="L169" s="3">
        <v>0.0</v>
      </c>
      <c r="M169" s="3">
        <v>21.65</v>
      </c>
      <c r="N169" s="3">
        <v>0.0</v>
      </c>
      <c r="O169" s="3" t="str">
        <f t="array" ref="O169">INDEX('2024_Transactions'!$J$2:$J$339,MATCH(1,('2024_Transactions'!$C$2:$C$339='2024_Roster_Offseason'!$I169)*('2024_Roster_Offseason'!$A169='2024_Transactions'!$B$2:$B$339),0))</f>
        <v>Signed</v>
      </c>
      <c r="P169" s="13">
        <f t="array" ref="P169">IFERROR(INDEX('2024_Draft_team'!$J$2:$J$271,MATCH(1,('2024_Roster_Offseason'!$I169='2024_Draft_team'!$Q$2:$Q$271)*('2024_Roster_Offseason'!$A169='2024_Draft_team'!$B$2:$B$271),0)),15)</f>
        <v>15</v>
      </c>
      <c r="Q169" s="12" t="s">
        <v>34</v>
      </c>
    </row>
    <row r="170" ht="14.25" customHeight="1">
      <c r="A170" s="2" t="s">
        <v>13</v>
      </c>
      <c r="B170" s="2" t="s">
        <v>46</v>
      </c>
      <c r="C170" s="2" t="s">
        <v>360</v>
      </c>
      <c r="D170" s="2" t="s">
        <v>361</v>
      </c>
      <c r="E170" s="2" t="s">
        <v>46</v>
      </c>
      <c r="F170" s="2" t="s">
        <v>32</v>
      </c>
      <c r="G170" s="2" t="s">
        <v>63</v>
      </c>
      <c r="H170" s="2"/>
      <c r="I170" s="2" t="str">
        <f>'2024_Roster_Offseason'!$C170&amp;'2024_Roster_Offseason'!$D170</f>
        <v>DarnellMooney</v>
      </c>
      <c r="J170" s="7">
        <v>0.91</v>
      </c>
      <c r="K170" s="7">
        <v>0.38</v>
      </c>
      <c r="L170" s="2">
        <v>0.0</v>
      </c>
      <c r="M170" s="2">
        <v>19.19</v>
      </c>
      <c r="N170" s="2">
        <v>0.0</v>
      </c>
      <c r="O170" s="2" t="str">
        <f t="array" ref="O170">INDEX('2024_Transactions'!$J$2:$J$339,MATCH(1,('2024_Transactions'!$C$2:$C$339='2024_Roster_Offseason'!$I170)*('2024_Roster_Offseason'!$A170='2024_Transactions'!$B$2:$B$339),0))</f>
        <v>Signed</v>
      </c>
      <c r="P170" s="14">
        <f t="array" ref="P170">IFERROR(INDEX('2024_Draft_team'!$J$2:$J$271,MATCH(1,('2024_Roster_Offseason'!$I170='2024_Draft_team'!$Q$2:$Q$271)*('2024_Roster_Offseason'!$A170='2024_Draft_team'!$B$2:$B$271),0)),15)</f>
        <v>15</v>
      </c>
      <c r="Q170" s="9" t="s">
        <v>34</v>
      </c>
    </row>
    <row r="171" ht="14.25" customHeight="1">
      <c r="A171" s="3" t="s">
        <v>13</v>
      </c>
      <c r="B171" s="3" t="s">
        <v>46</v>
      </c>
      <c r="C171" s="3" t="s">
        <v>362</v>
      </c>
      <c r="D171" s="3" t="s">
        <v>363</v>
      </c>
      <c r="E171" s="3" t="s">
        <v>46</v>
      </c>
      <c r="F171" s="3" t="s">
        <v>32</v>
      </c>
      <c r="G171" s="3" t="s">
        <v>66</v>
      </c>
      <c r="H171" s="3"/>
      <c r="I171" s="3" t="str">
        <f>'2024_Roster_Offseason'!$C171&amp;'2024_Roster_Offseason'!$D171</f>
        <v>RomeOdunze</v>
      </c>
      <c r="J171" s="10">
        <v>0.65</v>
      </c>
      <c r="K171" s="10">
        <v>0.17</v>
      </c>
      <c r="L171" s="3">
        <v>0.0</v>
      </c>
      <c r="M171" s="3">
        <v>14.82</v>
      </c>
      <c r="N171" s="3">
        <v>0.0</v>
      </c>
      <c r="O171" s="3" t="str">
        <f t="array" ref="O171">INDEX('2024_Transactions'!$J$2:$J$339,MATCH(1,('2024_Transactions'!$C$2:$C$339='2024_Roster_Offseason'!$I171)*('2024_Roster_Offseason'!$A171='2024_Transactions'!$B$2:$B$339),0))</f>
        <v>#N/A</v>
      </c>
      <c r="P171" s="11">
        <f t="array" ref="P171">INDEX('2024_Draft_team'!$J$2:$J$271,MATCH(1,('2024_Roster_Offseason'!$I171='2024_Draft_team'!$Q$2:$Q$271)*('2024_Roster_Offseason'!$A171='2024_Draft_team'!$B$2:$B$271),0))</f>
        <v>10</v>
      </c>
      <c r="Q171" s="12" t="s">
        <v>38</v>
      </c>
    </row>
    <row r="172" ht="14.25" customHeight="1">
      <c r="A172" s="2" t="s">
        <v>13</v>
      </c>
      <c r="B172" s="2" t="s">
        <v>59</v>
      </c>
      <c r="C172" s="2" t="s">
        <v>40</v>
      </c>
      <c r="D172" s="2" t="s">
        <v>260</v>
      </c>
      <c r="E172" s="2" t="s">
        <v>59</v>
      </c>
      <c r="F172" s="2" t="s">
        <v>32</v>
      </c>
      <c r="G172" s="2" t="s">
        <v>37</v>
      </c>
      <c r="H172" s="2"/>
      <c r="I172" s="2" t="str">
        <f>'2024_Roster_Offseason'!$C172&amp;'2024_Roster_Offseason'!$D172</f>
        <v>NickBosa</v>
      </c>
      <c r="J172" s="7">
        <v>0.68</v>
      </c>
      <c r="K172" s="7">
        <v>0.34</v>
      </c>
      <c r="L172" s="2">
        <v>0.0</v>
      </c>
      <c r="M172" s="2">
        <v>18.43</v>
      </c>
      <c r="N172" s="2">
        <v>0.0</v>
      </c>
      <c r="O172" s="2" t="str">
        <f t="array" ref="O172">INDEX('2024_Transactions'!$J$2:$J$339,MATCH(1,('2024_Transactions'!$C$2:$C$339='2024_Roster_Offseason'!$I172)*('2024_Roster_Offseason'!$A172='2024_Transactions'!$B$2:$B$339),0))</f>
        <v>#N/A</v>
      </c>
      <c r="P172" s="8">
        <f t="array" ref="P172">INDEX('2024_Draft_team'!$J$2:$J$271,MATCH(1,('2024_Roster_Offseason'!$I172='2024_Draft_team'!$Q$2:$Q$271)*('2024_Roster_Offseason'!$A172='2024_Draft_team'!$B$2:$B$271),0))</f>
        <v>1</v>
      </c>
      <c r="Q172" s="9" t="s">
        <v>34</v>
      </c>
    </row>
    <row r="173" ht="14.25" customHeight="1">
      <c r="A173" s="3" t="s">
        <v>13</v>
      </c>
      <c r="B173" s="3" t="s">
        <v>59</v>
      </c>
      <c r="C173" s="3" t="s">
        <v>364</v>
      </c>
      <c r="D173" s="3" t="s">
        <v>365</v>
      </c>
      <c r="E173" s="3" t="s">
        <v>59</v>
      </c>
      <c r="F173" s="3" t="s">
        <v>32</v>
      </c>
      <c r="G173" s="3" t="s">
        <v>71</v>
      </c>
      <c r="H173" s="3"/>
      <c r="I173" s="3" t="str">
        <f>'2024_Roster_Offseason'!$C173&amp;'2024_Roster_Offseason'!$D173</f>
        <v>LukeGifford</v>
      </c>
      <c r="J173" s="10">
        <v>0.03</v>
      </c>
      <c r="K173" s="10">
        <v>0.02</v>
      </c>
      <c r="L173" s="3">
        <v>0.0</v>
      </c>
      <c r="M173" s="3">
        <v>8.25</v>
      </c>
      <c r="N173" s="3">
        <v>0.0</v>
      </c>
      <c r="O173" s="3" t="str">
        <f t="array" ref="O173">INDEX('2024_Transactions'!$J$2:$J$339,MATCH(1,('2024_Transactions'!$C$2:$C$339='2024_Roster_Offseason'!$I173)*('2024_Roster_Offseason'!$A173='2024_Transactions'!$B$2:$B$339),0))</f>
        <v>Signed</v>
      </c>
      <c r="P173" s="13">
        <f t="array" ref="P173">IFERROR(INDEX('2024_Draft_team'!$J$2:$J$271,MATCH(1,('2024_Roster_Offseason'!$I173='2024_Draft_team'!$Q$2:$Q$271)*('2024_Roster_Offseason'!$A173='2024_Draft_team'!$B$2:$B$271),0)),15)</f>
        <v>15</v>
      </c>
      <c r="Q173" s="12" t="s">
        <v>34</v>
      </c>
    </row>
    <row r="174" ht="14.25" customHeight="1">
      <c r="A174" s="2" t="s">
        <v>13</v>
      </c>
      <c r="B174" s="2" t="s">
        <v>59</v>
      </c>
      <c r="C174" s="2" t="s">
        <v>120</v>
      </c>
      <c r="D174" s="2" t="s">
        <v>366</v>
      </c>
      <c r="E174" s="2" t="s">
        <v>59</v>
      </c>
      <c r="F174" s="2" t="s">
        <v>32</v>
      </c>
      <c r="G174" s="2" t="s">
        <v>170</v>
      </c>
      <c r="H174" s="2"/>
      <c r="I174" s="2" t="str">
        <f>'2024_Roster_Offseason'!$C174&amp;'2024_Roster_Offseason'!$D174</f>
        <v>AlexHighsmith</v>
      </c>
      <c r="J174" s="7">
        <v>0.26</v>
      </c>
      <c r="K174" s="7">
        <v>0.18</v>
      </c>
      <c r="L174" s="2">
        <v>0.0</v>
      </c>
      <c r="M174" s="2">
        <v>18.18</v>
      </c>
      <c r="N174" s="2">
        <v>0.0</v>
      </c>
      <c r="O174" s="2" t="str">
        <f t="array" ref="O174">INDEX('2024_Transactions'!$J$2:$J$339,MATCH(1,('2024_Transactions'!$C$2:$C$339='2024_Roster_Offseason'!$I174)*('2024_Roster_Offseason'!$A174='2024_Transactions'!$B$2:$B$339),0))</f>
        <v>Signed</v>
      </c>
      <c r="P174" s="14">
        <f t="array" ref="P174">IFERROR(INDEX('2024_Draft_team'!$J$2:$J$271,MATCH(1,('2024_Roster_Offseason'!$I174='2024_Draft_team'!$Q$2:$Q$271)*('2024_Roster_Offseason'!$A174='2024_Draft_team'!$B$2:$B$271),0)),15)</f>
        <v>15</v>
      </c>
      <c r="Q174" s="9" t="s">
        <v>34</v>
      </c>
    </row>
    <row r="175" ht="14.25" customHeight="1">
      <c r="A175" s="3" t="s">
        <v>13</v>
      </c>
      <c r="B175" s="3" t="s">
        <v>59</v>
      </c>
      <c r="C175" s="3" t="s">
        <v>367</v>
      </c>
      <c r="D175" s="3" t="s">
        <v>368</v>
      </c>
      <c r="E175" s="3" t="s">
        <v>131</v>
      </c>
      <c r="F175" s="3" t="s">
        <v>59</v>
      </c>
      <c r="G175" s="3" t="s">
        <v>32</v>
      </c>
      <c r="H175" s="3" t="s">
        <v>79</v>
      </c>
      <c r="I175" s="3" t="str">
        <f>'2024_Roster_Offseason'!$C175&amp;'2024_Roster_Offseason'!$D175&amp;'2024_Roster_Offseason'!$E175</f>
        <v>IvanPaceJr.</v>
      </c>
      <c r="J175" s="10">
        <v>0.18</v>
      </c>
      <c r="K175" s="10">
        <v>0.04</v>
      </c>
      <c r="L175" s="3">
        <v>0.0</v>
      </c>
      <c r="M175" s="3">
        <v>22.27</v>
      </c>
      <c r="N175" s="3">
        <v>0.0</v>
      </c>
      <c r="O175" s="3" t="str">
        <f t="array" ref="O175">INDEX('2024_Transactions'!$J$2:$J$339,MATCH(1,('2024_Transactions'!$C$2:$C$339='2024_Roster_Offseason'!$I175)*('2024_Roster_Offseason'!$A175='2024_Transactions'!$B$2:$B$339),0))</f>
        <v>#N/A</v>
      </c>
      <c r="P175" s="11">
        <f t="array" ref="P175">INDEX('2024_Draft_team'!$J$2:$J$271,MATCH(1,('2024_Roster_Offseason'!$I175='2024_Draft_team'!$Q$2:$Q$271)*('2024_Roster_Offseason'!$A175='2024_Draft_team'!$B$2:$B$271),0))</f>
        <v>23</v>
      </c>
      <c r="Q175" s="12" t="s">
        <v>38</v>
      </c>
    </row>
    <row r="176" ht="14.25" customHeight="1">
      <c r="A176" s="2" t="s">
        <v>13</v>
      </c>
      <c r="B176" s="2" t="s">
        <v>59</v>
      </c>
      <c r="C176" s="2" t="s">
        <v>276</v>
      </c>
      <c r="D176" s="2" t="s">
        <v>369</v>
      </c>
      <c r="E176" s="2" t="s">
        <v>59</v>
      </c>
      <c r="F176" s="2" t="s">
        <v>32</v>
      </c>
      <c r="G176" s="2" t="s">
        <v>79</v>
      </c>
      <c r="H176" s="2"/>
      <c r="I176" s="2" t="str">
        <f>'2024_Roster_Offseason'!$C176&amp;'2024_Roster_Offseason'!$D176</f>
        <v>DallasTurner</v>
      </c>
      <c r="J176" s="7">
        <v>0.12</v>
      </c>
      <c r="K176" s="7">
        <v>0.03</v>
      </c>
      <c r="L176" s="2">
        <v>0.0</v>
      </c>
      <c r="M176" s="2">
        <v>6.12</v>
      </c>
      <c r="N176" s="2">
        <v>0.0</v>
      </c>
      <c r="O176" s="2" t="str">
        <f t="array" ref="O176">INDEX('2024_Transactions'!$J$2:$J$339,MATCH(1,('2024_Transactions'!$C$2:$C$339='2024_Roster_Offseason'!$I176)*('2024_Roster_Offseason'!$A176='2024_Transactions'!$B$2:$B$339),0))</f>
        <v>#N/A</v>
      </c>
      <c r="P176" s="8">
        <f t="array" ref="P176">INDEX('2024_Draft_team'!$J$2:$J$271,MATCH(1,('2024_Roster_Offseason'!$I176='2024_Draft_team'!$Q$2:$Q$271)*('2024_Roster_Offseason'!$A176='2024_Draft_team'!$B$2:$B$271),0))</f>
        <v>21</v>
      </c>
      <c r="Q176" s="9" t="s">
        <v>38</v>
      </c>
    </row>
    <row r="177" ht="14.25" customHeight="1">
      <c r="A177" s="3" t="s">
        <v>13</v>
      </c>
      <c r="B177" s="3" t="s">
        <v>59</v>
      </c>
      <c r="C177" s="3" t="s">
        <v>370</v>
      </c>
      <c r="D177" s="3" t="s">
        <v>153</v>
      </c>
      <c r="E177" s="3" t="s">
        <v>59</v>
      </c>
      <c r="F177" s="3" t="s">
        <v>32</v>
      </c>
      <c r="G177" s="3" t="s">
        <v>58</v>
      </c>
      <c r="H177" s="3"/>
      <c r="I177" s="3" t="str">
        <f>'2024_Roster_Offseason'!$C177&amp;'2024_Roster_Offseason'!$D177</f>
        <v>AnthonyWalker</v>
      </c>
      <c r="J177" s="10">
        <v>0.05</v>
      </c>
      <c r="K177" s="10">
        <v>0.02</v>
      </c>
      <c r="L177" s="3">
        <v>0.0</v>
      </c>
      <c r="M177" s="3">
        <v>11.79</v>
      </c>
      <c r="N177" s="3">
        <v>0.0</v>
      </c>
      <c r="O177" s="3" t="str">
        <f t="array" ref="O177">INDEX('2024_Transactions'!$J$2:$J$339,MATCH(1,('2024_Transactions'!$C$2:$C$339='2024_Roster_Offseason'!$I177)*('2024_Roster_Offseason'!$A177='2024_Transactions'!$B$2:$B$339),0))</f>
        <v>Signed</v>
      </c>
      <c r="P177" s="13">
        <f t="array" ref="P177">IFERROR(INDEX('2024_Draft_team'!$J$2:$J$271,MATCH(1,('2024_Roster_Offseason'!$I177='2024_Draft_team'!$Q$2:$Q$271)*('2024_Roster_Offseason'!$A177='2024_Draft_team'!$B$2:$B$271),0)),15)</f>
        <v>15</v>
      </c>
      <c r="Q177" s="12" t="s">
        <v>34</v>
      </c>
    </row>
    <row r="178" ht="14.25" customHeight="1">
      <c r="A178" s="2" t="s">
        <v>13</v>
      </c>
      <c r="B178" s="2" t="s">
        <v>39</v>
      </c>
      <c r="C178" s="2" t="s">
        <v>371</v>
      </c>
      <c r="D178" s="2" t="s">
        <v>174</v>
      </c>
      <c r="E178" s="2" t="s">
        <v>39</v>
      </c>
      <c r="F178" s="2" t="s">
        <v>32</v>
      </c>
      <c r="G178" s="2" t="s">
        <v>45</v>
      </c>
      <c r="H178" s="2"/>
      <c r="I178" s="2" t="str">
        <f>'2024_Roster_Offseason'!$C178&amp;'2024_Roster_Offseason'!$D178</f>
        <v>MarShawnLloyd</v>
      </c>
      <c r="J178" s="7">
        <v>0.14</v>
      </c>
      <c r="K178" s="7">
        <v>0.01</v>
      </c>
      <c r="L178" s="2">
        <v>0.0</v>
      </c>
      <c r="M178" s="2">
        <v>3.0</v>
      </c>
      <c r="N178" s="2">
        <v>0.0</v>
      </c>
      <c r="O178" s="2" t="str">
        <f t="array" ref="O178">INDEX('2024_Transactions'!$J$2:$J$339,MATCH(1,('2024_Transactions'!$C$2:$C$339='2024_Roster_Offseason'!$I178)*('2024_Roster_Offseason'!$A178='2024_Transactions'!$B$2:$B$339),0))</f>
        <v>#N/A</v>
      </c>
      <c r="P178" s="8">
        <f t="array" ref="P178">INDEX('2024_Draft_team'!$J$2:$J$271,MATCH(1,('2024_Roster_Offseason'!$I178='2024_Draft_team'!$Q$2:$Q$271)*('2024_Roster_Offseason'!$A178='2024_Draft_team'!$B$2:$B$271),0))</f>
        <v>16</v>
      </c>
      <c r="Q178" s="9" t="s">
        <v>34</v>
      </c>
    </row>
    <row r="179" ht="14.25" customHeight="1">
      <c r="A179" s="3" t="s">
        <v>13</v>
      </c>
      <c r="B179" s="3" t="s">
        <v>46</v>
      </c>
      <c r="C179" s="3" t="s">
        <v>101</v>
      </c>
      <c r="D179" s="3" t="s">
        <v>372</v>
      </c>
      <c r="E179" s="3" t="s">
        <v>46</v>
      </c>
      <c r="F179" s="3" t="s">
        <v>32</v>
      </c>
      <c r="G179" s="3" t="s">
        <v>37</v>
      </c>
      <c r="H179" s="3"/>
      <c r="I179" s="3" t="str">
        <f>'2024_Roster_Offseason'!$C179&amp;'2024_Roster_Offseason'!$D179</f>
        <v>BrandonAiyuk</v>
      </c>
      <c r="J179" s="10">
        <v>0.22</v>
      </c>
      <c r="K179" s="10">
        <v>0.02</v>
      </c>
      <c r="L179" s="3">
        <v>0.0</v>
      </c>
      <c r="M179" s="3">
        <v>14.57</v>
      </c>
      <c r="N179" s="3">
        <v>0.0</v>
      </c>
      <c r="O179" s="3" t="str">
        <f t="array" ref="O179">INDEX('2024_Transactions'!$J$2:$J$339,MATCH(1,('2024_Transactions'!$C$2:$C$339='2024_Roster_Offseason'!$I179)*('2024_Roster_Offseason'!$A179='2024_Transactions'!$B$2:$B$339),0))</f>
        <v>#N/A</v>
      </c>
      <c r="P179" s="11">
        <f t="array" ref="P179">INDEX('2024_Draft_team'!$J$2:$J$271,MATCH(1,('2024_Roster_Offseason'!$I179='2024_Draft_team'!$Q$2:$Q$271)*('2024_Roster_Offseason'!$A179='2024_Draft_team'!$B$2:$B$271),0))</f>
        <v>14</v>
      </c>
      <c r="Q179" s="12" t="s">
        <v>34</v>
      </c>
    </row>
    <row r="180" ht="14.25" customHeight="1">
      <c r="A180" s="2" t="s">
        <v>13</v>
      </c>
      <c r="B180" s="2" t="s">
        <v>59</v>
      </c>
      <c r="C180" s="2" t="s">
        <v>373</v>
      </c>
      <c r="D180" s="2" t="s">
        <v>374</v>
      </c>
      <c r="E180" s="2" t="s">
        <v>59</v>
      </c>
      <c r="F180" s="2" t="s">
        <v>32</v>
      </c>
      <c r="G180" s="2" t="s">
        <v>87</v>
      </c>
      <c r="H180" s="2"/>
      <c r="I180" s="2" t="str">
        <f>'2024_Roster_Offseason'!$C180&amp;'2024_Roster_Offseason'!$D180</f>
        <v>DeMarvionOvershown</v>
      </c>
      <c r="J180" s="7">
        <v>0.24</v>
      </c>
      <c r="K180" s="7">
        <v>0.07</v>
      </c>
      <c r="L180" s="2">
        <v>0.0</v>
      </c>
      <c r="M180" s="2">
        <v>23.38</v>
      </c>
      <c r="N180" s="2">
        <v>0.0</v>
      </c>
      <c r="O180" s="2" t="str">
        <f t="array" ref="O180">INDEX('2024_Transactions'!$J$2:$J$339,MATCH(1,('2024_Transactions'!$C$2:$C$339='2024_Roster_Offseason'!$I180)*('2024_Roster_Offseason'!$A180='2024_Transactions'!$B$2:$B$339),0))</f>
        <v>Signed</v>
      </c>
      <c r="P180" s="14">
        <f t="array" ref="P180">IFERROR(INDEX('2024_Draft_team'!$J$2:$J$271,MATCH(1,('2024_Roster_Offseason'!$I180='2024_Draft_team'!$Q$2:$Q$271)*('2024_Roster_Offseason'!$A180='2024_Draft_team'!$B$2:$B$271),0)),15)</f>
        <v>15</v>
      </c>
      <c r="Q180" s="9" t="s">
        <v>34</v>
      </c>
    </row>
    <row r="181" ht="14.25" customHeight="1">
      <c r="A181" s="3" t="s">
        <v>11</v>
      </c>
      <c r="B181" s="3" t="s">
        <v>29</v>
      </c>
      <c r="C181" s="3" t="s">
        <v>375</v>
      </c>
      <c r="D181" s="3" t="s">
        <v>376</v>
      </c>
      <c r="E181" s="3" t="s">
        <v>29</v>
      </c>
      <c r="F181" s="3" t="s">
        <v>32</v>
      </c>
      <c r="G181" s="3" t="s">
        <v>179</v>
      </c>
      <c r="H181" s="3"/>
      <c r="I181" s="3" t="str">
        <f>'2024_Roster_Offseason'!$C181&amp;'2024_Roster_Offseason'!$D181</f>
        <v>LamarJackson</v>
      </c>
      <c r="J181" s="10">
        <v>1.0</v>
      </c>
      <c r="K181" s="10">
        <v>0.9</v>
      </c>
      <c r="L181" s="3">
        <v>0.0</v>
      </c>
      <c r="M181" s="3">
        <v>60.71</v>
      </c>
      <c r="N181" s="3">
        <v>0.0</v>
      </c>
      <c r="O181" s="3" t="str">
        <f t="array" ref="O181">INDEX('2024_Transactions'!$J$2:$J$339,MATCH(1,('2024_Transactions'!$C$2:$C$339='2024_Roster_Offseason'!$I181)*('2024_Roster_Offseason'!$A181='2024_Transactions'!$B$2:$B$339),0))</f>
        <v>#N/A</v>
      </c>
      <c r="P181" s="11" t="str">
        <f t="array" ref="P181">INDEX('2024_Draft_team'!$J$2:$J$271,MATCH(1,('2024_Roster_Offseason'!$I181='2024_Draft_team'!$Q$2:$Q$271)*('2024_Roster_Offseason'!$A181='2024_Draft_team'!$B$2:$B$271),0))</f>
        <v>N/A</v>
      </c>
      <c r="Q181" s="15" t="s">
        <v>34</v>
      </c>
    </row>
    <row r="182" ht="14.25" customHeight="1">
      <c r="A182" s="2" t="s">
        <v>11</v>
      </c>
      <c r="B182" s="2" t="s">
        <v>29</v>
      </c>
      <c r="C182" s="2" t="s">
        <v>377</v>
      </c>
      <c r="D182" s="2" t="s">
        <v>378</v>
      </c>
      <c r="E182" s="2" t="s">
        <v>29</v>
      </c>
      <c r="F182" s="2" t="s">
        <v>32</v>
      </c>
      <c r="G182" s="2" t="s">
        <v>218</v>
      </c>
      <c r="H182" s="2"/>
      <c r="I182" s="2" t="str">
        <f>'2024_Roster_Offseason'!$C182&amp;'2024_Roster_Offseason'!$D182</f>
        <v>BryceYoung</v>
      </c>
      <c r="J182" s="7">
        <v>0.31</v>
      </c>
      <c r="K182" s="7">
        <v>0.15</v>
      </c>
      <c r="L182" s="2">
        <v>0.0</v>
      </c>
      <c r="M182" s="2">
        <v>30.93</v>
      </c>
      <c r="N182" s="2">
        <v>0.0</v>
      </c>
      <c r="O182" s="2" t="str">
        <f t="array" ref="O182">INDEX('2024_Transactions'!$J$2:$J$339,MATCH(1,('2024_Transactions'!$C$2:$C$339='2024_Roster_Offseason'!$I182)*('2024_Roster_Offseason'!$A182='2024_Transactions'!$B$2:$B$339),0))</f>
        <v>Signed</v>
      </c>
      <c r="P182" s="14">
        <f t="array" ref="P182">IFERROR(INDEX('2024_Draft_team'!$J$2:$J$271,MATCH(1,('2024_Roster_Offseason'!$I182='2024_Draft_team'!$Q$2:$Q$271)*('2024_Roster_Offseason'!$A182='2024_Draft_team'!$B$2:$B$271),0)),15)</f>
        <v>15</v>
      </c>
      <c r="Q182" s="16" t="s">
        <v>34</v>
      </c>
    </row>
    <row r="183" ht="14.25" customHeight="1">
      <c r="A183" s="3" t="s">
        <v>11</v>
      </c>
      <c r="B183" s="3" t="s">
        <v>39</v>
      </c>
      <c r="C183" s="3" t="s">
        <v>379</v>
      </c>
      <c r="D183" s="3" t="s">
        <v>380</v>
      </c>
      <c r="E183" s="3" t="s">
        <v>39</v>
      </c>
      <c r="F183" s="3" t="s">
        <v>32</v>
      </c>
      <c r="G183" s="3" t="s">
        <v>110</v>
      </c>
      <c r="H183" s="3"/>
      <c r="I183" s="3" t="str">
        <f>'2024_Roster_Offseason'!$C183&amp;'2024_Roster_Offseason'!$D183</f>
        <v>ZachCharbonnet</v>
      </c>
      <c r="J183" s="10">
        <v>0.96</v>
      </c>
      <c r="K183" s="10">
        <v>0.74</v>
      </c>
      <c r="L183" s="3">
        <v>0.0</v>
      </c>
      <c r="M183" s="3">
        <v>15.65</v>
      </c>
      <c r="N183" s="3">
        <v>0.0</v>
      </c>
      <c r="O183" s="3" t="str">
        <f t="array" ref="O183">INDEX('2024_Transactions'!$J$2:$J$339,MATCH(1,('2024_Transactions'!$C$2:$C$339='2024_Roster_Offseason'!$I183)*('2024_Roster_Offseason'!$A183='2024_Transactions'!$B$2:$B$339),0))</f>
        <v>Signed</v>
      </c>
      <c r="P183" s="13">
        <f t="array" ref="P183">IFERROR(INDEX('2024_Draft_team'!$J$2:$J$271,MATCH(1,('2024_Roster_Offseason'!$I183='2024_Draft_team'!$Q$2:$Q$271)*('2024_Roster_Offseason'!$A183='2024_Draft_team'!$B$2:$B$271),0)),15)</f>
        <v>15</v>
      </c>
      <c r="Q183" s="15" t="s">
        <v>34</v>
      </c>
    </row>
    <row r="184" ht="14.25" customHeight="1">
      <c r="A184" s="2" t="s">
        <v>11</v>
      </c>
      <c r="B184" s="2" t="s">
        <v>39</v>
      </c>
      <c r="C184" s="2" t="s">
        <v>381</v>
      </c>
      <c r="D184" s="2" t="s">
        <v>171</v>
      </c>
      <c r="E184" s="2" t="s">
        <v>39</v>
      </c>
      <c r="F184" s="2" t="s">
        <v>32</v>
      </c>
      <c r="G184" s="2" t="s">
        <v>170</v>
      </c>
      <c r="H184" s="2"/>
      <c r="I184" s="2" t="str">
        <f>'2024_Roster_Offseason'!$C184&amp;'2024_Roster_Offseason'!$D184</f>
        <v>NajeeHarris</v>
      </c>
      <c r="J184" s="7">
        <v>0.99</v>
      </c>
      <c r="K184" s="7">
        <v>0.56</v>
      </c>
      <c r="L184" s="2">
        <v>0.0</v>
      </c>
      <c r="M184" s="2">
        <v>19.35</v>
      </c>
      <c r="N184" s="2">
        <v>0.0</v>
      </c>
      <c r="O184" s="2" t="str">
        <f t="array" ref="O184">INDEX('2024_Transactions'!$J$2:$J$339,MATCH(1,('2024_Transactions'!$C$2:$C$339='2024_Roster_Offseason'!$I184)*('2024_Roster_Offseason'!$A184='2024_Transactions'!$B$2:$B$339),0))</f>
        <v>#N/A</v>
      </c>
      <c r="P184" s="8">
        <f t="array" ref="P184">INDEX('2024_Draft_team'!$J$2:$J$271,MATCH(1,('2024_Roster_Offseason'!$I184='2024_Draft_team'!$Q$2:$Q$271)*('2024_Roster_Offseason'!$A184='2024_Draft_team'!$B$2:$B$271),0))</f>
        <v>5</v>
      </c>
      <c r="Q184" s="16" t="s">
        <v>34</v>
      </c>
    </row>
    <row r="185" ht="14.25" customHeight="1">
      <c r="A185" s="3" t="s">
        <v>11</v>
      </c>
      <c r="B185" s="3" t="s">
        <v>46</v>
      </c>
      <c r="C185" s="3" t="s">
        <v>382</v>
      </c>
      <c r="D185" s="3" t="s">
        <v>383</v>
      </c>
      <c r="E185" s="3" t="s">
        <v>46</v>
      </c>
      <c r="F185" s="3" t="s">
        <v>32</v>
      </c>
      <c r="G185" s="3" t="s">
        <v>37</v>
      </c>
      <c r="H185" s="3"/>
      <c r="I185" s="3" t="str">
        <f>'2024_Roster_Offseason'!$C185&amp;'2024_Roster_Offseason'!$D185</f>
        <v>GeorgeKittle</v>
      </c>
      <c r="J185" s="10">
        <v>1.0</v>
      </c>
      <c r="K185" s="10">
        <v>0.95</v>
      </c>
      <c r="L185" s="3">
        <v>0.0</v>
      </c>
      <c r="M185" s="3">
        <v>24.73</v>
      </c>
      <c r="N185" s="3">
        <v>0.0</v>
      </c>
      <c r="O185" s="3" t="str">
        <f t="array" ref="O185">INDEX('2024_Transactions'!$J$2:$J$339,MATCH(1,('2024_Transactions'!$C$2:$C$339='2024_Roster_Offseason'!$I185)*('2024_Roster_Offseason'!$A185='2024_Transactions'!$B$2:$B$339),0))</f>
        <v>#N/A</v>
      </c>
      <c r="P185" s="11">
        <f t="array" ref="P185">INDEX('2024_Draft_team'!$J$2:$J$271,MATCH(1,('2024_Roster_Offseason'!$I185='2024_Draft_team'!$Q$2:$Q$271)*('2024_Roster_Offseason'!$A185='2024_Draft_team'!$B$2:$B$271),0))</f>
        <v>18</v>
      </c>
      <c r="Q185" s="15" t="s">
        <v>38</v>
      </c>
    </row>
    <row r="186" ht="14.25" customHeight="1">
      <c r="A186" s="2" t="s">
        <v>11</v>
      </c>
      <c r="B186" s="2" t="s">
        <v>46</v>
      </c>
      <c r="C186" s="2" t="s">
        <v>384</v>
      </c>
      <c r="D186" s="2" t="s">
        <v>385</v>
      </c>
      <c r="E186" s="2" t="s">
        <v>46</v>
      </c>
      <c r="F186" s="2" t="s">
        <v>32</v>
      </c>
      <c r="G186" s="2" t="s">
        <v>54</v>
      </c>
      <c r="H186" s="2"/>
      <c r="I186" s="2" t="str">
        <f>'2024_Roster_Offseason'!$C186&amp;'2024_Roster_Offseason'!$D186</f>
        <v>LaddMcConkey</v>
      </c>
      <c r="J186" s="7">
        <v>0.97</v>
      </c>
      <c r="K186" s="7">
        <v>0.66</v>
      </c>
      <c r="L186" s="2">
        <v>0.0</v>
      </c>
      <c r="M186" s="2">
        <v>26.88</v>
      </c>
      <c r="N186" s="2">
        <v>0.0</v>
      </c>
      <c r="O186" s="2" t="str">
        <f t="array" ref="O186">INDEX('2024_Transactions'!$J$2:$J$339,MATCH(1,('2024_Transactions'!$C$2:$C$339='2024_Roster_Offseason'!$I186)*('2024_Roster_Offseason'!$A186='2024_Transactions'!$B$2:$B$339),0))</f>
        <v>#N/A</v>
      </c>
      <c r="P186" s="8">
        <f t="array" ref="P186">INDEX('2024_Draft_team'!$J$2:$J$271,MATCH(1,('2024_Roster_Offseason'!$I186='2024_Draft_team'!$Q$2:$Q$271)*('2024_Roster_Offseason'!$A186='2024_Draft_team'!$B$2:$B$271),0))</f>
        <v>20</v>
      </c>
      <c r="Q186" s="16" t="s">
        <v>38</v>
      </c>
    </row>
    <row r="187" ht="14.25" customHeight="1">
      <c r="A187" s="3" t="s">
        <v>11</v>
      </c>
      <c r="B187" s="3" t="s">
        <v>46</v>
      </c>
      <c r="C187" s="3" t="s">
        <v>386</v>
      </c>
      <c r="D187" s="3" t="s">
        <v>387</v>
      </c>
      <c r="E187" s="3" t="s">
        <v>46</v>
      </c>
      <c r="F187" s="3" t="s">
        <v>32</v>
      </c>
      <c r="G187" s="3" t="s">
        <v>76</v>
      </c>
      <c r="H187" s="3"/>
      <c r="I187" s="3" t="str">
        <f>'2024_Roster_Offseason'!$C187&amp;'2024_Roster_Offseason'!$D187</f>
        <v>JakobiMeyers</v>
      </c>
      <c r="J187" s="10">
        <v>0.91</v>
      </c>
      <c r="K187" s="10">
        <v>0.56</v>
      </c>
      <c r="L187" s="3">
        <v>0.0</v>
      </c>
      <c r="M187" s="3">
        <v>23.0</v>
      </c>
      <c r="N187" s="3">
        <v>0.0</v>
      </c>
      <c r="O187" s="3" t="str">
        <f t="array" ref="O187">INDEX('2024_Transactions'!$J$2:$J$339,MATCH(1,('2024_Transactions'!$C$2:$C$339='2024_Roster_Offseason'!$I187)*('2024_Roster_Offseason'!$A187='2024_Transactions'!$B$2:$B$339),0))</f>
        <v>Signed</v>
      </c>
      <c r="P187" s="13">
        <f t="array" ref="P187">IFERROR(INDEX('2024_Draft_team'!$J$2:$J$271,MATCH(1,('2024_Roster_Offseason'!$I187='2024_Draft_team'!$Q$2:$Q$271)*('2024_Roster_Offseason'!$A187='2024_Draft_team'!$B$2:$B$271),0)),15)</f>
        <v>15</v>
      </c>
      <c r="Q187" s="15" t="s">
        <v>34</v>
      </c>
    </row>
    <row r="188" ht="14.25" customHeight="1">
      <c r="A188" s="2" t="s">
        <v>11</v>
      </c>
      <c r="B188" s="2" t="s">
        <v>55</v>
      </c>
      <c r="C188" s="2" t="s">
        <v>193</v>
      </c>
      <c r="D188" s="2" t="s">
        <v>388</v>
      </c>
      <c r="E188" s="2" t="s">
        <v>55</v>
      </c>
      <c r="F188" s="2" t="s">
        <v>32</v>
      </c>
      <c r="G188" s="2" t="s">
        <v>238</v>
      </c>
      <c r="H188" s="2"/>
      <c r="I188" s="2" t="str">
        <f>'2024_Roster_Offseason'!$C188&amp;'2024_Roster_Offseason'!$D188</f>
        <v>ChaseMcLaughlin</v>
      </c>
      <c r="J188" s="7">
        <v>0.96</v>
      </c>
      <c r="K188" s="7">
        <v>0.85</v>
      </c>
      <c r="L188" s="2">
        <v>0.0</v>
      </c>
      <c r="M188" s="2">
        <v>20.59</v>
      </c>
      <c r="N188" s="2">
        <v>0.0</v>
      </c>
      <c r="O188" s="2" t="str">
        <f t="array" ref="O188">INDEX('2024_Transactions'!$J$2:$J$339,MATCH(1,('2024_Transactions'!$C$2:$C$339='2024_Roster_Offseason'!$I188)*('2024_Roster_Offseason'!$A188='2024_Transactions'!$B$2:$B$339),0))</f>
        <v>Signed</v>
      </c>
      <c r="P188" s="14">
        <f t="array" ref="P188">IFERROR(INDEX('2024_Draft_team'!$J$2:$J$271,MATCH(1,('2024_Roster_Offseason'!$I188='2024_Draft_team'!$Q$2:$Q$271)*('2024_Roster_Offseason'!$A188='2024_Draft_team'!$B$2:$B$271),0)),15)</f>
        <v>15</v>
      </c>
      <c r="Q188" s="16" t="s">
        <v>34</v>
      </c>
    </row>
    <row r="189" ht="14.25" customHeight="1">
      <c r="A189" s="3" t="s">
        <v>11</v>
      </c>
      <c r="B189" s="3" t="s">
        <v>59</v>
      </c>
      <c r="C189" s="3" t="s">
        <v>389</v>
      </c>
      <c r="D189" s="3" t="s">
        <v>247</v>
      </c>
      <c r="E189" s="3" t="s">
        <v>59</v>
      </c>
      <c r="F189" s="3" t="s">
        <v>32</v>
      </c>
      <c r="G189" s="3" t="s">
        <v>213</v>
      </c>
      <c r="H189" s="3"/>
      <c r="I189" s="3" t="str">
        <f>'2024_Roster_Offseason'!$C189&amp;'2024_Roster_Offseason'!$D189</f>
        <v>BuddaBaker</v>
      </c>
      <c r="J189" s="10">
        <v>1.0</v>
      </c>
      <c r="K189" s="10">
        <v>0.97</v>
      </c>
      <c r="L189" s="3">
        <v>0.0</v>
      </c>
      <c r="M189" s="3">
        <v>23.82</v>
      </c>
      <c r="N189" s="3">
        <v>0.0</v>
      </c>
      <c r="O189" s="3" t="str">
        <f t="array" ref="O189">INDEX('2024_Transactions'!$J$2:$J$339,MATCH(1,('2024_Transactions'!$C$2:$C$339='2024_Roster_Offseason'!$I189)*('2024_Roster_Offseason'!$A189='2024_Transactions'!$B$2:$B$339),0))</f>
        <v>#N/A</v>
      </c>
      <c r="P189" s="11">
        <f t="array" ref="P189">INDEX('2024_Draft_team'!$J$2:$J$271,MATCH(1,('2024_Roster_Offseason'!$I189='2024_Draft_team'!$Q$2:$Q$271)*('2024_Roster_Offseason'!$A189='2024_Draft_team'!$B$2:$B$271),0))</f>
        <v>7</v>
      </c>
      <c r="Q189" s="15" t="s">
        <v>34</v>
      </c>
    </row>
    <row r="190" ht="14.25" customHeight="1">
      <c r="A190" s="2" t="s">
        <v>11</v>
      </c>
      <c r="B190" s="2" t="s">
        <v>59</v>
      </c>
      <c r="C190" s="2" t="s">
        <v>390</v>
      </c>
      <c r="D190" s="2" t="s">
        <v>391</v>
      </c>
      <c r="E190" s="2" t="s">
        <v>59</v>
      </c>
      <c r="F190" s="2" t="s">
        <v>32</v>
      </c>
      <c r="G190" s="2" t="s">
        <v>124</v>
      </c>
      <c r="H190" s="2"/>
      <c r="I190" s="2" t="str">
        <f>'2024_Roster_Offseason'!$C190&amp;'2024_Roster_Offseason'!$D190</f>
        <v>ZackBaun</v>
      </c>
      <c r="J190" s="7">
        <v>1.0</v>
      </c>
      <c r="K190" s="7">
        <v>0.93</v>
      </c>
      <c r="L190" s="2">
        <v>30.0</v>
      </c>
      <c r="M190" s="2">
        <v>33.88</v>
      </c>
      <c r="N190" s="2">
        <v>0.0</v>
      </c>
      <c r="O190" s="2" t="str">
        <f t="array" ref="O190">INDEX('2024_Transactions'!$J$2:$J$339,MATCH(1,('2024_Transactions'!$C$2:$C$339='2024_Roster_Offseason'!$I190)*('2024_Roster_Offseason'!$A190='2024_Transactions'!$B$2:$B$339),0))</f>
        <v>Signed</v>
      </c>
      <c r="P190" s="14">
        <f t="array" ref="P190">IFERROR(INDEX('2024_Draft_team'!$J$2:$J$271,MATCH(1,('2024_Roster_Offseason'!$I190='2024_Draft_team'!$Q$2:$Q$271)*('2024_Roster_Offseason'!$A190='2024_Draft_team'!$B$2:$B$271),0)),15)</f>
        <v>15</v>
      </c>
      <c r="Q190" s="16" t="s">
        <v>38</v>
      </c>
    </row>
    <row r="191" ht="14.25" customHeight="1">
      <c r="A191" s="3" t="s">
        <v>11</v>
      </c>
      <c r="B191" s="3" t="s">
        <v>59</v>
      </c>
      <c r="C191" s="3" t="s">
        <v>392</v>
      </c>
      <c r="D191" s="3" t="s">
        <v>393</v>
      </c>
      <c r="E191" s="3" t="s">
        <v>59</v>
      </c>
      <c r="F191" s="3" t="s">
        <v>32</v>
      </c>
      <c r="G191" s="3" t="s">
        <v>105</v>
      </c>
      <c r="H191" s="3"/>
      <c r="I191" s="3" t="str">
        <f>'2024_Roster_Offseason'!$C191&amp;'2024_Roster_Offseason'!$D191</f>
        <v>ZaireFranklin</v>
      </c>
      <c r="J191" s="10">
        <v>1.0</v>
      </c>
      <c r="K191" s="10">
        <v>0.87</v>
      </c>
      <c r="L191" s="3">
        <v>0.0</v>
      </c>
      <c r="M191" s="3">
        <v>27.24</v>
      </c>
      <c r="N191" s="3">
        <v>0.0</v>
      </c>
      <c r="O191" s="3" t="str">
        <f t="array" ref="O191">INDEX('2024_Transactions'!$J$2:$J$339,MATCH(1,('2024_Transactions'!$C$2:$C$339='2024_Roster_Offseason'!$I191)*('2024_Roster_Offseason'!$A191='2024_Transactions'!$B$2:$B$339),0))</f>
        <v>#N/A</v>
      </c>
      <c r="P191" s="11">
        <f t="array" ref="P191">INDEX('2024_Draft_team'!$J$2:$J$271,MATCH(1,('2024_Roster_Offseason'!$I191='2024_Draft_team'!$Q$2:$Q$271)*('2024_Roster_Offseason'!$A191='2024_Draft_team'!$B$2:$B$271),0))</f>
        <v>1</v>
      </c>
      <c r="Q191" s="15" t="s">
        <v>34</v>
      </c>
    </row>
    <row r="192" ht="14.25" customHeight="1">
      <c r="A192" s="2" t="s">
        <v>11</v>
      </c>
      <c r="B192" s="2" t="s">
        <v>59</v>
      </c>
      <c r="C192" s="2" t="s">
        <v>225</v>
      </c>
      <c r="D192" s="2" t="s">
        <v>394</v>
      </c>
      <c r="E192" s="2" t="s">
        <v>59</v>
      </c>
      <c r="F192" s="2" t="s">
        <v>32</v>
      </c>
      <c r="G192" s="2" t="s">
        <v>119</v>
      </c>
      <c r="H192" s="2"/>
      <c r="I192" s="2" t="str">
        <f>'2024_Roster_Offseason'!$C192&amp;'2024_Roster_Offseason'!$D192</f>
        <v>TreyHendrickson</v>
      </c>
      <c r="J192" s="7">
        <v>0.83</v>
      </c>
      <c r="K192" s="7">
        <v>0.73</v>
      </c>
      <c r="L192" s="2">
        <v>0.0</v>
      </c>
      <c r="M192" s="2">
        <v>19.94</v>
      </c>
      <c r="N192" s="2">
        <v>0.0</v>
      </c>
      <c r="O192" s="2" t="str">
        <f t="array" ref="O192">INDEX('2024_Transactions'!$J$2:$J$339,MATCH(1,('2024_Transactions'!$C$2:$C$339='2024_Roster_Offseason'!$I192)*('2024_Roster_Offseason'!$A192='2024_Transactions'!$B$2:$B$339),0))</f>
        <v>Signed</v>
      </c>
      <c r="P192" s="14">
        <f t="array" ref="P192">IFERROR(INDEX('2024_Draft_team'!$J$2:$J$271,MATCH(1,('2024_Roster_Offseason'!$I192='2024_Draft_team'!$Q$2:$Q$271)*('2024_Roster_Offseason'!$A192='2024_Draft_team'!$B$2:$B$271),0)),15)</f>
        <v>15</v>
      </c>
      <c r="Q192" s="16" t="s">
        <v>34</v>
      </c>
    </row>
    <row r="193" ht="14.25" customHeight="1">
      <c r="A193" s="3" t="s">
        <v>11</v>
      </c>
      <c r="B193" s="3" t="s">
        <v>59</v>
      </c>
      <c r="C193" s="3" t="s">
        <v>395</v>
      </c>
      <c r="D193" s="3" t="s">
        <v>396</v>
      </c>
      <c r="E193" s="3" t="s">
        <v>59</v>
      </c>
      <c r="F193" s="3" t="s">
        <v>32</v>
      </c>
      <c r="G193" s="3" t="s">
        <v>141</v>
      </c>
      <c r="H193" s="3"/>
      <c r="I193" s="3" t="str">
        <f>'2024_Roster_Offseason'!$C193&amp;'2024_Roster_Offseason'!$D193</f>
        <v>KerbyJoseph</v>
      </c>
      <c r="J193" s="10">
        <v>0.48</v>
      </c>
      <c r="K193" s="10">
        <v>0.35</v>
      </c>
      <c r="L193" s="3">
        <v>0.0</v>
      </c>
      <c r="M193" s="3">
        <v>22.94</v>
      </c>
      <c r="N193" s="3">
        <v>0.0</v>
      </c>
      <c r="O193" s="3" t="str">
        <f t="array" ref="O193">INDEX('2024_Transactions'!$J$2:$J$339,MATCH(1,('2024_Transactions'!$C$2:$C$339='2024_Roster_Offseason'!$I193)*('2024_Roster_Offseason'!$A193='2024_Transactions'!$B$2:$B$339),0))</f>
        <v>#N/A</v>
      </c>
      <c r="P193" s="11">
        <f t="array" ref="P193">INDEX('2024_Draft_team'!$J$2:$J$271,MATCH(1,('2024_Roster_Offseason'!$I193='2024_Draft_team'!$Q$2:$Q$271)*('2024_Roster_Offseason'!$A193='2024_Draft_team'!$B$2:$B$271),0))</f>
        <v>18</v>
      </c>
      <c r="Q193" s="15" t="s">
        <v>34</v>
      </c>
    </row>
    <row r="194" ht="14.25" customHeight="1">
      <c r="A194" s="2" t="s">
        <v>11</v>
      </c>
      <c r="B194" s="2" t="s">
        <v>59</v>
      </c>
      <c r="C194" s="2" t="s">
        <v>278</v>
      </c>
      <c r="D194" s="2" t="s">
        <v>397</v>
      </c>
      <c r="E194" s="2" t="s">
        <v>59</v>
      </c>
      <c r="F194" s="2" t="s">
        <v>32</v>
      </c>
      <c r="G194" s="2" t="s">
        <v>170</v>
      </c>
      <c r="H194" s="2"/>
      <c r="I194" s="2" t="str">
        <f>'2024_Roster_Offseason'!$C194&amp;'2024_Roster_Offseason'!$D194</f>
        <v>T.J.Watt</v>
      </c>
      <c r="J194" s="7">
        <v>0.87</v>
      </c>
      <c r="K194" s="7">
        <v>0.71</v>
      </c>
      <c r="L194" s="2">
        <v>0.0</v>
      </c>
      <c r="M194" s="2">
        <v>18.35</v>
      </c>
      <c r="N194" s="2">
        <v>0.0</v>
      </c>
      <c r="O194" s="2" t="str">
        <f t="array" ref="O194">INDEX('2024_Transactions'!$J$2:$J$339,MATCH(1,('2024_Transactions'!$C$2:$C$339='2024_Roster_Offseason'!$I194)*('2024_Roster_Offseason'!$A194='2024_Transactions'!$B$2:$B$339),0))</f>
        <v>#N/A</v>
      </c>
      <c r="P194" s="8" t="str">
        <f t="array" ref="P194">INDEX('2024_Draft_team'!$J$2:$J$271,MATCH(1,('2024_Roster_Offseason'!$I194='2024_Draft_team'!$Q$2:$Q$271)*('2024_Roster_Offseason'!$A194='2024_Draft_team'!$B$2:$B$271),0))</f>
        <v>N/A</v>
      </c>
      <c r="Q194" s="16" t="s">
        <v>34</v>
      </c>
    </row>
    <row r="195" ht="14.25" customHeight="1">
      <c r="A195" s="3" t="s">
        <v>11</v>
      </c>
      <c r="B195" s="3" t="s">
        <v>59</v>
      </c>
      <c r="C195" s="3" t="s">
        <v>398</v>
      </c>
      <c r="D195" s="3" t="s">
        <v>399</v>
      </c>
      <c r="E195" s="3" t="s">
        <v>59</v>
      </c>
      <c r="F195" s="3" t="s">
        <v>32</v>
      </c>
      <c r="G195" s="3" t="s">
        <v>218</v>
      </c>
      <c r="H195" s="3"/>
      <c r="I195" s="3" t="str">
        <f>'2024_Roster_Offseason'!$C195&amp;'2024_Roster_Offseason'!$D195</f>
        <v>JacobyWindmon</v>
      </c>
      <c r="J195" s="10">
        <v>0.03</v>
      </c>
      <c r="K195" s="10">
        <v>0.02</v>
      </c>
      <c r="L195" s="3">
        <v>0.0</v>
      </c>
      <c r="M195" s="3">
        <v>8.62</v>
      </c>
      <c r="N195" s="3">
        <v>0.0</v>
      </c>
      <c r="O195" s="3" t="str">
        <f t="array" ref="O195">INDEX('2024_Transactions'!$J$2:$J$339,MATCH(1,('2024_Transactions'!$C$2:$C$339='2024_Roster_Offseason'!$I195)*('2024_Roster_Offseason'!$A195='2024_Transactions'!$B$2:$B$339),0))</f>
        <v>Signed</v>
      </c>
      <c r="P195" s="13">
        <f t="array" ref="P195">IFERROR(INDEX('2024_Draft_team'!$J$2:$J$271,MATCH(1,('2024_Roster_Offseason'!$I195='2024_Draft_team'!$Q$2:$Q$271)*('2024_Roster_Offseason'!$A195='2024_Draft_team'!$B$2:$B$271),0)),15)</f>
        <v>15</v>
      </c>
      <c r="Q195" s="15" t="s">
        <v>34</v>
      </c>
    </row>
    <row r="196" ht="14.25" customHeight="1">
      <c r="A196" s="2" t="s">
        <v>11</v>
      </c>
      <c r="B196" s="2" t="s">
        <v>29</v>
      </c>
      <c r="C196" s="2" t="s">
        <v>400</v>
      </c>
      <c r="D196" s="2" t="s">
        <v>401</v>
      </c>
      <c r="E196" s="2" t="s">
        <v>29</v>
      </c>
      <c r="F196" s="2" t="s">
        <v>32</v>
      </c>
      <c r="G196" s="2" t="s">
        <v>58</v>
      </c>
      <c r="H196" s="2"/>
      <c r="I196" s="2" t="str">
        <f>'2024_Roster_Offseason'!$C196&amp;'2024_Roster_Offseason'!$D196</f>
        <v>TuaTagovailoa</v>
      </c>
      <c r="J196" s="7">
        <v>0.88</v>
      </c>
      <c r="K196" s="7">
        <v>0.31</v>
      </c>
      <c r="L196" s="2">
        <v>0.0</v>
      </c>
      <c r="M196" s="2">
        <v>39.09</v>
      </c>
      <c r="N196" s="2">
        <v>0.0</v>
      </c>
      <c r="O196" s="2" t="str">
        <f t="array" ref="O196">INDEX('2024_Transactions'!$J$2:$J$339,MATCH(1,('2024_Transactions'!$C$2:$C$339='2024_Roster_Offseason'!$I196)*('2024_Roster_Offseason'!$A196='2024_Transactions'!$B$2:$B$339),0))</f>
        <v>#N/A</v>
      </c>
      <c r="P196" s="8">
        <f t="array" ref="P196">INDEX('2024_Draft_team'!$J$2:$J$271,MATCH(1,('2024_Roster_Offseason'!$I196='2024_Draft_team'!$Q$2:$Q$271)*('2024_Roster_Offseason'!$A196='2024_Draft_team'!$B$2:$B$271),0))</f>
        <v>4</v>
      </c>
      <c r="Q196" s="16" t="s">
        <v>34</v>
      </c>
    </row>
    <row r="197" ht="14.25" customHeight="1">
      <c r="A197" s="3" t="s">
        <v>11</v>
      </c>
      <c r="B197" s="3" t="s">
        <v>39</v>
      </c>
      <c r="C197" s="3" t="s">
        <v>402</v>
      </c>
      <c r="D197" s="3" t="s">
        <v>403</v>
      </c>
      <c r="E197" s="3" t="s">
        <v>39</v>
      </c>
      <c r="F197" s="3" t="s">
        <v>32</v>
      </c>
      <c r="G197" s="3" t="s">
        <v>33</v>
      </c>
      <c r="H197" s="3"/>
      <c r="I197" s="3" t="str">
        <f>'2024_Roster_Offseason'!$C197&amp;'2024_Roster_Offseason'!$D197</f>
        <v>AlvinKamara</v>
      </c>
      <c r="J197" s="10">
        <v>0.95</v>
      </c>
      <c r="K197" s="10">
        <v>0.34</v>
      </c>
      <c r="L197" s="3">
        <v>0.0</v>
      </c>
      <c r="M197" s="3">
        <v>27.64</v>
      </c>
      <c r="N197" s="3">
        <v>0.0</v>
      </c>
      <c r="O197" s="3" t="str">
        <f t="array" ref="O197">INDEX('2024_Transactions'!$J$2:$J$339,MATCH(1,('2024_Transactions'!$C$2:$C$339='2024_Roster_Offseason'!$I197)*('2024_Roster_Offseason'!$A197='2024_Transactions'!$B$2:$B$339),0))</f>
        <v>#N/A</v>
      </c>
      <c r="P197" s="11">
        <f t="array" ref="P197">INDEX('2024_Draft_team'!$J$2:$J$271,MATCH(1,('2024_Roster_Offseason'!$I197='2024_Draft_team'!$Q$2:$Q$271)*('2024_Roster_Offseason'!$A197='2024_Draft_team'!$B$2:$B$271),0))</f>
        <v>8</v>
      </c>
      <c r="Q197" s="15" t="s">
        <v>34</v>
      </c>
    </row>
    <row r="198" ht="14.25" customHeight="1">
      <c r="A198" s="2" t="s">
        <v>11</v>
      </c>
      <c r="B198" s="2" t="s">
        <v>39</v>
      </c>
      <c r="C198" s="2" t="s">
        <v>404</v>
      </c>
      <c r="D198" s="2" t="s">
        <v>405</v>
      </c>
      <c r="E198" s="2" t="s">
        <v>39</v>
      </c>
      <c r="F198" s="2" t="s">
        <v>32</v>
      </c>
      <c r="G198" s="2" t="s">
        <v>76</v>
      </c>
      <c r="H198" s="2"/>
      <c r="I198" s="2" t="str">
        <f>'2024_Roster_Offseason'!$C198&amp;'2024_Roster_Offseason'!$D198</f>
        <v>AlexanderMattison</v>
      </c>
      <c r="J198" s="7">
        <v>0.73</v>
      </c>
      <c r="K198" s="7">
        <v>0.2</v>
      </c>
      <c r="L198" s="2">
        <v>0.0</v>
      </c>
      <c r="M198" s="2">
        <v>13.64</v>
      </c>
      <c r="N198" s="2">
        <v>0.0</v>
      </c>
      <c r="O198" s="2" t="str">
        <f t="array" ref="O198">INDEX('2024_Transactions'!$J$2:$J$339,MATCH(1,('2024_Transactions'!$C$2:$C$339='2024_Roster_Offseason'!$I198)*('2024_Roster_Offseason'!$A198='2024_Transactions'!$B$2:$B$339),0))</f>
        <v>Signed</v>
      </c>
      <c r="P198" s="14">
        <f t="array" ref="P198">IFERROR(INDEX('2024_Draft_team'!$J$2:$J$271,MATCH(1,('2024_Roster_Offseason'!$I198='2024_Draft_team'!$Q$2:$Q$271)*('2024_Roster_Offseason'!$A198='2024_Draft_team'!$B$2:$B$271),0)),15)</f>
        <v>15</v>
      </c>
      <c r="Q198" s="16" t="s">
        <v>34</v>
      </c>
    </row>
    <row r="199" ht="14.25" customHeight="1">
      <c r="A199" s="3" t="s">
        <v>11</v>
      </c>
      <c r="B199" s="3" t="s">
        <v>39</v>
      </c>
      <c r="C199" s="3" t="s">
        <v>406</v>
      </c>
      <c r="D199" s="3" t="s">
        <v>407</v>
      </c>
      <c r="E199" s="3" t="s">
        <v>39</v>
      </c>
      <c r="F199" s="3" t="s">
        <v>32</v>
      </c>
      <c r="G199" s="3" t="s">
        <v>33</v>
      </c>
      <c r="H199" s="3"/>
      <c r="I199" s="3" t="str">
        <f>'2024_Roster_Offseason'!$C199&amp;'2024_Roster_Offseason'!$D199</f>
        <v>KendreMiller</v>
      </c>
      <c r="J199" s="10">
        <v>0.64</v>
      </c>
      <c r="K199" s="10">
        <v>0.19</v>
      </c>
      <c r="L199" s="3">
        <v>0.0</v>
      </c>
      <c r="M199" s="3">
        <v>6.83</v>
      </c>
      <c r="N199" s="3">
        <v>0.0</v>
      </c>
      <c r="O199" s="3" t="str">
        <f t="array" ref="O199">INDEX('2024_Transactions'!$J$2:$J$339,MATCH(1,('2024_Transactions'!$C$2:$C$339='2024_Roster_Offseason'!$I199)*('2024_Roster_Offseason'!$A199='2024_Transactions'!$B$2:$B$339),0))</f>
        <v>Signed</v>
      </c>
      <c r="P199" s="13">
        <f t="array" ref="P199">IFERROR(INDEX('2024_Draft_team'!$J$2:$J$271,MATCH(1,('2024_Roster_Offseason'!$I199='2024_Draft_team'!$Q$2:$Q$271)*('2024_Roster_Offseason'!$A199='2024_Draft_team'!$B$2:$B$271),0)),15)</f>
        <v>15</v>
      </c>
      <c r="Q199" s="15" t="s">
        <v>34</v>
      </c>
    </row>
    <row r="200" ht="14.25" customHeight="1">
      <c r="A200" s="2" t="s">
        <v>11</v>
      </c>
      <c r="B200" s="2" t="s">
        <v>46</v>
      </c>
      <c r="C200" s="2" t="s">
        <v>408</v>
      </c>
      <c r="D200" s="2" t="s">
        <v>118</v>
      </c>
      <c r="E200" s="2" t="s">
        <v>46</v>
      </c>
      <c r="F200" s="2" t="s">
        <v>32</v>
      </c>
      <c r="G200" s="2" t="s">
        <v>58</v>
      </c>
      <c r="H200" s="2"/>
      <c r="I200" s="2" t="str">
        <f>'2024_Roster_Offseason'!$C200&amp;'2024_Roster_Offseason'!$D200</f>
        <v>TyreekHill</v>
      </c>
      <c r="J200" s="7">
        <v>1.0</v>
      </c>
      <c r="K200" s="7">
        <v>0.84</v>
      </c>
      <c r="L200" s="2">
        <v>0.0</v>
      </c>
      <c r="M200" s="2">
        <v>20.65</v>
      </c>
      <c r="N200" s="2">
        <v>0.0</v>
      </c>
      <c r="O200" s="2" t="str">
        <f t="array" ref="O200">INDEX('2024_Transactions'!$J$2:$J$339,MATCH(1,('2024_Transactions'!$C$2:$C$339='2024_Roster_Offseason'!$I200)*('2024_Roster_Offseason'!$A200='2024_Transactions'!$B$2:$B$339),0))</f>
        <v>#N/A</v>
      </c>
      <c r="P200" s="8" t="str">
        <f t="array" ref="P200">INDEX('2024_Draft_team'!$J$2:$J$271,MATCH(1,('2024_Roster_Offseason'!$I200='2024_Draft_team'!$Q$2:$Q$271)*('2024_Roster_Offseason'!$A200='2024_Draft_team'!$B$2:$B$271),0))</f>
        <v>N/A</v>
      </c>
      <c r="Q200" s="16" t="s">
        <v>34</v>
      </c>
    </row>
    <row r="201" ht="14.25" customHeight="1">
      <c r="A201" s="3" t="s">
        <v>11</v>
      </c>
      <c r="B201" s="3" t="s">
        <v>46</v>
      </c>
      <c r="C201" s="3" t="s">
        <v>409</v>
      </c>
      <c r="D201" s="3" t="s">
        <v>410</v>
      </c>
      <c r="E201" s="3" t="s">
        <v>46</v>
      </c>
      <c r="F201" s="3" t="s">
        <v>32</v>
      </c>
      <c r="G201" s="3" t="s">
        <v>87</v>
      </c>
      <c r="H201" s="3"/>
      <c r="I201" s="3" t="str">
        <f>'2024_Roster_Offseason'!$C201&amp;'2024_Roster_Offseason'!$D201</f>
        <v>CeeDeeLamb</v>
      </c>
      <c r="J201" s="10">
        <v>0.92</v>
      </c>
      <c r="K201" s="10">
        <v>0.54</v>
      </c>
      <c r="L201" s="3">
        <v>0.0</v>
      </c>
      <c r="M201" s="3">
        <v>26.6</v>
      </c>
      <c r="N201" s="3">
        <v>0.0</v>
      </c>
      <c r="O201" s="3" t="str">
        <f t="array" ref="O201">INDEX('2024_Transactions'!$J$2:$J$339,MATCH(1,('2024_Transactions'!$C$2:$C$339='2024_Roster_Offseason'!$I201)*('2024_Roster_Offseason'!$A201='2024_Transactions'!$B$2:$B$339),0))</f>
        <v>#N/A</v>
      </c>
      <c r="P201" s="11">
        <f t="array" ref="P201">INDEX('2024_Draft_team'!$J$2:$J$271,MATCH(1,('2024_Roster_Offseason'!$I201='2024_Draft_team'!$Q$2:$Q$271)*('2024_Roster_Offseason'!$A201='2024_Draft_team'!$B$2:$B$271),0))</f>
        <v>2</v>
      </c>
      <c r="Q201" s="15" t="s">
        <v>34</v>
      </c>
    </row>
    <row r="202" ht="14.25" customHeight="1">
      <c r="A202" s="2" t="s">
        <v>11</v>
      </c>
      <c r="B202" s="2" t="s">
        <v>46</v>
      </c>
      <c r="C202" s="2" t="s">
        <v>122</v>
      </c>
      <c r="D202" s="2" t="s">
        <v>411</v>
      </c>
      <c r="E202" s="2" t="s">
        <v>46</v>
      </c>
      <c r="F202" s="2" t="s">
        <v>32</v>
      </c>
      <c r="G202" s="2" t="s">
        <v>238</v>
      </c>
      <c r="H202" s="2"/>
      <c r="I202" s="2" t="str">
        <f>'2024_Roster_Offseason'!$C202&amp;'2024_Roster_Offseason'!$D202</f>
        <v>JalenMcMillan</v>
      </c>
      <c r="J202" s="7">
        <v>0.68</v>
      </c>
      <c r="K202" s="7">
        <v>0.37</v>
      </c>
      <c r="L202" s="2">
        <v>0.0</v>
      </c>
      <c r="M202" s="2">
        <v>18.54</v>
      </c>
      <c r="N202" s="2">
        <v>0.0</v>
      </c>
      <c r="O202" s="2" t="str">
        <f t="array" ref="O202">INDEX('2024_Transactions'!$J$2:$J$339,MATCH(1,('2024_Transactions'!$C$2:$C$339='2024_Roster_Offseason'!$I202)*('2024_Roster_Offseason'!$A202='2024_Transactions'!$B$2:$B$339),0))</f>
        <v>Signed</v>
      </c>
      <c r="P202" s="14">
        <f t="array" ref="P202">IFERROR(INDEX('2024_Draft_team'!$J$2:$J$271,MATCH(1,('2024_Roster_Offseason'!$I202='2024_Draft_team'!$Q$2:$Q$271)*('2024_Roster_Offseason'!$A202='2024_Draft_team'!$B$2:$B$271),0)),15)</f>
        <v>15</v>
      </c>
      <c r="Q202" s="16" t="s">
        <v>34</v>
      </c>
    </row>
    <row r="203" ht="14.25" customHeight="1">
      <c r="A203" s="3" t="s">
        <v>11</v>
      </c>
      <c r="B203" s="3" t="s">
        <v>55</v>
      </c>
      <c r="C203" s="3" t="s">
        <v>56</v>
      </c>
      <c r="D203" s="3" t="s">
        <v>412</v>
      </c>
      <c r="E203" s="3" t="s">
        <v>55</v>
      </c>
      <c r="F203" s="3" t="s">
        <v>32</v>
      </c>
      <c r="G203" s="3" t="s">
        <v>110</v>
      </c>
      <c r="H203" s="3"/>
      <c r="I203" s="3" t="str">
        <f>'2024_Roster_Offseason'!$C203&amp;'2024_Roster_Offseason'!$D203</f>
        <v>JasonMyers</v>
      </c>
      <c r="J203" s="10">
        <v>0.53</v>
      </c>
      <c r="K203" s="10">
        <v>0.36</v>
      </c>
      <c r="L203" s="3">
        <v>0.0</v>
      </c>
      <c r="M203" s="3">
        <v>16.88</v>
      </c>
      <c r="N203" s="3">
        <v>0.0</v>
      </c>
      <c r="O203" s="3" t="str">
        <f t="array" ref="O203">INDEX('2024_Transactions'!$J$2:$J$339,MATCH(1,('2024_Transactions'!$C$2:$C$339='2024_Roster_Offseason'!$I203)*('2024_Roster_Offseason'!$A203='2024_Transactions'!$B$2:$B$339),0))</f>
        <v>Signed</v>
      </c>
      <c r="P203" s="13">
        <f t="array" ref="P203">IFERROR(INDEX('2024_Draft_team'!$J$2:$J$271,MATCH(1,('2024_Roster_Offseason'!$I203='2024_Draft_team'!$Q$2:$Q$271)*('2024_Roster_Offseason'!$A203='2024_Draft_team'!$B$2:$B$271),0)),15)</f>
        <v>15</v>
      </c>
      <c r="Q203" s="15" t="s">
        <v>34</v>
      </c>
    </row>
    <row r="204" ht="14.25" customHeight="1">
      <c r="A204" s="2" t="s">
        <v>11</v>
      </c>
      <c r="B204" s="2" t="s">
        <v>59</v>
      </c>
      <c r="C204" s="2" t="s">
        <v>413</v>
      </c>
      <c r="D204" s="2" t="s">
        <v>414</v>
      </c>
      <c r="E204" s="2" t="s">
        <v>59</v>
      </c>
      <c r="F204" s="2" t="s">
        <v>32</v>
      </c>
      <c r="G204" s="2" t="s">
        <v>170</v>
      </c>
      <c r="H204" s="2"/>
      <c r="I204" s="2" t="str">
        <f>'2024_Roster_Offseason'!$C204&amp;'2024_Roster_Offseason'!$D204</f>
        <v>MinkahFitzpatrick</v>
      </c>
      <c r="J204" s="7">
        <v>0.38</v>
      </c>
      <c r="K204" s="7">
        <v>0.25</v>
      </c>
      <c r="L204" s="2">
        <v>0.0</v>
      </c>
      <c r="M204" s="2">
        <v>15.59</v>
      </c>
      <c r="N204" s="2">
        <v>0.0</v>
      </c>
      <c r="O204" s="2" t="str">
        <f t="array" ref="O204">INDEX('2024_Transactions'!$J$2:$J$339,MATCH(1,('2024_Transactions'!$C$2:$C$339='2024_Roster_Offseason'!$I204)*('2024_Roster_Offseason'!$A204='2024_Transactions'!$B$2:$B$339),0))</f>
        <v>#N/A</v>
      </c>
      <c r="P204" s="8">
        <f t="array" ref="P204">INDEX('2024_Draft_team'!$J$2:$J$271,MATCH(1,('2024_Roster_Offseason'!$I204='2024_Draft_team'!$Q$2:$Q$271)*('2024_Roster_Offseason'!$A204='2024_Draft_team'!$B$2:$B$271),0))</f>
        <v>9</v>
      </c>
      <c r="Q204" s="16" t="s">
        <v>34</v>
      </c>
    </row>
    <row r="205" ht="14.25" customHeight="1">
      <c r="A205" s="3" t="s">
        <v>11</v>
      </c>
      <c r="B205" s="3" t="s">
        <v>59</v>
      </c>
      <c r="C205" s="3" t="s">
        <v>334</v>
      </c>
      <c r="D205" s="3" t="s">
        <v>415</v>
      </c>
      <c r="E205" s="3" t="s">
        <v>59</v>
      </c>
      <c r="F205" s="3" t="s">
        <v>32</v>
      </c>
      <c r="G205" s="3" t="s">
        <v>42</v>
      </c>
      <c r="H205" s="3"/>
      <c r="I205" s="3" t="str">
        <f>'2024_Roster_Offseason'!$C205&amp;'2024_Roster_Offseason'!$D205</f>
        <v>JordanHicks</v>
      </c>
      <c r="J205" s="10">
        <v>0.19</v>
      </c>
      <c r="K205" s="10">
        <v>0.12</v>
      </c>
      <c r="L205" s="3">
        <v>0.0</v>
      </c>
      <c r="M205" s="3">
        <v>16.17</v>
      </c>
      <c r="N205" s="3">
        <v>0.0</v>
      </c>
      <c r="O205" s="3" t="str">
        <f t="array" ref="O205">INDEX('2024_Transactions'!$J$2:$J$339,MATCH(1,('2024_Transactions'!$C$2:$C$339='2024_Roster_Offseason'!$I205)*('2024_Roster_Offseason'!$A205='2024_Transactions'!$B$2:$B$339),0))</f>
        <v>#N/A</v>
      </c>
      <c r="P205" s="11">
        <f t="array" ref="P205">INDEX('2024_Draft_team'!$J$2:$J$271,MATCH(1,('2024_Roster_Offseason'!$I205='2024_Draft_team'!$Q$2:$Q$271)*('2024_Roster_Offseason'!$A205='2024_Draft_team'!$B$2:$B$271),0))</f>
        <v>6</v>
      </c>
      <c r="Q205" s="15" t="s">
        <v>34</v>
      </c>
    </row>
    <row r="206" ht="14.25" customHeight="1">
      <c r="A206" s="2" t="s">
        <v>11</v>
      </c>
      <c r="B206" s="2" t="s">
        <v>59</v>
      </c>
      <c r="C206" s="2" t="s">
        <v>416</v>
      </c>
      <c r="D206" s="2" t="s">
        <v>161</v>
      </c>
      <c r="E206" s="2" t="s">
        <v>59</v>
      </c>
      <c r="F206" s="2" t="s">
        <v>32</v>
      </c>
      <c r="G206" s="2" t="s">
        <v>33</v>
      </c>
      <c r="H206" s="2"/>
      <c r="I206" s="2" t="str">
        <f>'2024_Roster_Offseason'!$C206&amp;'2024_Roster_Offseason'!$D206</f>
        <v>AlontaeTaylor</v>
      </c>
      <c r="J206" s="7">
        <v>0.38</v>
      </c>
      <c r="K206" s="7">
        <v>0.25</v>
      </c>
      <c r="L206" s="2">
        <v>0.0</v>
      </c>
      <c r="M206" s="2">
        <v>17.59</v>
      </c>
      <c r="N206" s="2">
        <v>0.0</v>
      </c>
      <c r="O206" s="2" t="str">
        <f t="array" ref="O206">INDEX('2024_Transactions'!$J$2:$J$339,MATCH(1,('2024_Transactions'!$C$2:$C$339='2024_Roster_Offseason'!$I206)*('2024_Roster_Offseason'!$A206='2024_Transactions'!$B$2:$B$339),0))</f>
        <v>Signed</v>
      </c>
      <c r="P206" s="14">
        <f t="array" ref="P206">IFERROR(INDEX('2024_Draft_team'!$J$2:$J$271,MATCH(1,('2024_Roster_Offseason'!$I206='2024_Draft_team'!$Q$2:$Q$271)*('2024_Roster_Offseason'!$A206='2024_Draft_team'!$B$2:$B$271),0)),15)</f>
        <v>15</v>
      </c>
      <c r="Q206" s="16" t="s">
        <v>34</v>
      </c>
    </row>
    <row r="207" ht="14.25" customHeight="1">
      <c r="A207" s="3" t="s">
        <v>11</v>
      </c>
      <c r="B207" s="3" t="s">
        <v>59</v>
      </c>
      <c r="C207" s="3" t="s">
        <v>417</v>
      </c>
      <c r="D207" s="3" t="s">
        <v>153</v>
      </c>
      <c r="E207" s="3" t="s">
        <v>59</v>
      </c>
      <c r="F207" s="3" t="s">
        <v>32</v>
      </c>
      <c r="G207" s="3" t="s">
        <v>148</v>
      </c>
      <c r="H207" s="3"/>
      <c r="I207" s="3" t="str">
        <f>'2024_Roster_Offseason'!$C207&amp;'2024_Roster_Offseason'!$D207</f>
        <v>TravonWalker</v>
      </c>
      <c r="J207" s="10">
        <v>0.5</v>
      </c>
      <c r="K207" s="10">
        <v>0.37</v>
      </c>
      <c r="L207" s="3">
        <v>0.0</v>
      </c>
      <c r="M207" s="3">
        <v>15.88</v>
      </c>
      <c r="N207" s="3">
        <v>0.0</v>
      </c>
      <c r="O207" s="3" t="str">
        <f t="array" ref="O207">INDEX('2024_Transactions'!$J$2:$J$339,MATCH(1,('2024_Transactions'!$C$2:$C$339='2024_Roster_Offseason'!$I207)*('2024_Roster_Offseason'!$A207='2024_Transactions'!$B$2:$B$339),0))</f>
        <v>Signed</v>
      </c>
      <c r="P207" s="13">
        <f t="array" ref="P207">IFERROR(INDEX('2024_Draft_team'!$J$2:$J$271,MATCH(1,('2024_Roster_Offseason'!$I207='2024_Draft_team'!$Q$2:$Q$271)*('2024_Roster_Offseason'!$A207='2024_Draft_team'!$B$2:$B$271),0)),15)</f>
        <v>15</v>
      </c>
      <c r="Q207" s="15" t="s">
        <v>34</v>
      </c>
    </row>
    <row r="208" ht="14.25" customHeight="1">
      <c r="A208" s="2" t="s">
        <v>11</v>
      </c>
      <c r="B208" s="2" t="s">
        <v>39</v>
      </c>
      <c r="C208" s="2" t="s">
        <v>418</v>
      </c>
      <c r="D208" s="2" t="s">
        <v>57</v>
      </c>
      <c r="E208" s="2" t="s">
        <v>39</v>
      </c>
      <c r="F208" s="2" t="s">
        <v>32</v>
      </c>
      <c r="G208" s="2" t="s">
        <v>218</v>
      </c>
      <c r="H208" s="2"/>
      <c r="I208" s="2" t="str">
        <f>'2024_Roster_Offseason'!$C208&amp;'2024_Roster_Offseason'!$D208</f>
        <v>MilesSanders</v>
      </c>
      <c r="J208" s="7">
        <v>0.09</v>
      </c>
      <c r="K208" s="7">
        <v>0.01</v>
      </c>
      <c r="L208" s="2">
        <v>0.0</v>
      </c>
      <c r="M208" s="2">
        <v>9.45</v>
      </c>
      <c r="N208" s="2">
        <v>0.0</v>
      </c>
      <c r="O208" s="2" t="str">
        <f t="array" ref="O208">INDEX('2024_Transactions'!$J$2:$J$339,MATCH(1,('2024_Transactions'!$C$2:$C$339='2024_Roster_Offseason'!$I208)*('2024_Roster_Offseason'!$A208='2024_Transactions'!$B$2:$B$339),0))</f>
        <v>Signed</v>
      </c>
      <c r="P208" s="14">
        <f t="array" ref="P208">IFERROR(INDEX('2024_Draft_team'!$J$2:$J$271,MATCH(1,('2024_Roster_Offseason'!$I208='2024_Draft_team'!$Q$2:$Q$271)*('2024_Roster_Offseason'!$A208='2024_Draft_team'!$B$2:$B$271),0)),15)</f>
        <v>15</v>
      </c>
      <c r="Q208" s="16" t="s">
        <v>34</v>
      </c>
    </row>
    <row r="209" ht="14.25" customHeight="1">
      <c r="A209" s="3" t="s">
        <v>9</v>
      </c>
      <c r="B209" s="3" t="s">
        <v>29</v>
      </c>
      <c r="C209" s="3" t="s">
        <v>298</v>
      </c>
      <c r="D209" s="3" t="s">
        <v>419</v>
      </c>
      <c r="E209" s="3" t="s">
        <v>29</v>
      </c>
      <c r="F209" s="3" t="s">
        <v>32</v>
      </c>
      <c r="G209" s="3" t="s">
        <v>79</v>
      </c>
      <c r="H209" s="3"/>
      <c r="I209" s="3" t="str">
        <f>'2024_Roster_Offseason'!$C209&amp;'2024_Roster_Offseason'!$D209</f>
        <v>SamDarnold</v>
      </c>
      <c r="J209" s="10">
        <v>0.96</v>
      </c>
      <c r="K209" s="10">
        <v>0.62</v>
      </c>
      <c r="L209" s="3">
        <v>0.0</v>
      </c>
      <c r="M209" s="3">
        <v>42.76</v>
      </c>
      <c r="N209" s="3">
        <v>0.0</v>
      </c>
      <c r="O209" s="3" t="str">
        <f t="array" ref="O209">INDEX('2024_Transactions'!$J$2:$J$339,MATCH(1,('2024_Transactions'!$C$2:$C$339='2024_Roster_Offseason'!$I209)*('2024_Roster_Offseason'!$A209='2024_Transactions'!$B$2:$B$339),0))</f>
        <v>#N/A</v>
      </c>
      <c r="P209" s="11">
        <f t="array" ref="P209">INDEX('2024_Draft_team'!$J$2:$J$271,MATCH(1,('2024_Roster_Offseason'!$I209='2024_Draft_team'!$Q$2:$Q$271)*('2024_Roster_Offseason'!$A209='2024_Draft_team'!$B$2:$B$271),0))</f>
        <v>23</v>
      </c>
      <c r="Q209" s="12" t="s">
        <v>34</v>
      </c>
    </row>
    <row r="210" ht="14.25" customHeight="1">
      <c r="A210" s="2" t="s">
        <v>9</v>
      </c>
      <c r="B210" s="2" t="s">
        <v>29</v>
      </c>
      <c r="C210" s="2" t="s">
        <v>420</v>
      </c>
      <c r="D210" s="2" t="s">
        <v>297</v>
      </c>
      <c r="E210" s="2" t="s">
        <v>29</v>
      </c>
      <c r="F210" s="2" t="s">
        <v>32</v>
      </c>
      <c r="G210" s="2" t="s">
        <v>66</v>
      </c>
      <c r="H210" s="2"/>
      <c r="I210" s="2" t="str">
        <f>'2024_Roster_Offseason'!$C210&amp;'2024_Roster_Offseason'!$D210</f>
        <v>CalebWilliams</v>
      </c>
      <c r="J210" s="7">
        <v>0.73</v>
      </c>
      <c r="K210" s="7">
        <v>0.26</v>
      </c>
      <c r="L210" s="2">
        <v>0.0</v>
      </c>
      <c r="M210" s="2">
        <v>34.47</v>
      </c>
      <c r="N210" s="2">
        <v>0.0</v>
      </c>
      <c r="O210" s="2" t="str">
        <f t="array" ref="O210">INDEX('2024_Transactions'!$J$2:$J$339,MATCH(1,('2024_Transactions'!$C$2:$C$339='2024_Roster_Offseason'!$I210)*('2024_Roster_Offseason'!$A210='2024_Transactions'!$B$2:$B$339),0))</f>
        <v>#N/A</v>
      </c>
      <c r="P210" s="8">
        <f t="array" ref="P210">INDEX('2024_Draft_team'!$J$2:$J$271,MATCH(1,('2024_Roster_Offseason'!$I210='2024_Draft_team'!$Q$2:$Q$271)*('2024_Roster_Offseason'!$A210='2024_Draft_team'!$B$2:$B$271),0))</f>
        <v>1</v>
      </c>
      <c r="Q210" s="9" t="s">
        <v>34</v>
      </c>
    </row>
    <row r="211" ht="14.25" customHeight="1">
      <c r="A211" s="3" t="s">
        <v>9</v>
      </c>
      <c r="B211" s="3" t="s">
        <v>39</v>
      </c>
      <c r="C211" s="3" t="s">
        <v>421</v>
      </c>
      <c r="D211" s="3" t="s">
        <v>422</v>
      </c>
      <c r="E211" s="3" t="s">
        <v>39</v>
      </c>
      <c r="F211" s="3" t="s">
        <v>32</v>
      </c>
      <c r="G211" s="3" t="s">
        <v>124</v>
      </c>
      <c r="H211" s="3"/>
      <c r="I211" s="3" t="str">
        <f>'2024_Roster_Offseason'!$C211&amp;'2024_Roster_Offseason'!$D211</f>
        <v>SaquonBarkley</v>
      </c>
      <c r="J211" s="10">
        <v>1.0</v>
      </c>
      <c r="K211" s="10">
        <v>0.91</v>
      </c>
      <c r="L211" s="3">
        <v>21.0</v>
      </c>
      <c r="M211" s="3">
        <v>47.69</v>
      </c>
      <c r="N211" s="3">
        <v>0.0</v>
      </c>
      <c r="O211" s="3" t="str">
        <f t="array" ref="O211">INDEX('2024_Transactions'!$J$2:$J$339,MATCH(1,('2024_Transactions'!$C$2:$C$339='2024_Roster_Offseason'!$I211)*('2024_Roster_Offseason'!$A211='2024_Transactions'!$B$2:$B$339),0))</f>
        <v>#N/A</v>
      </c>
      <c r="P211" s="11" t="str">
        <f t="array" ref="P211">INDEX('2024_Draft_team'!$J$2:$J$271,MATCH(1,('2024_Roster_Offseason'!$I211='2024_Draft_team'!$Q$2:$Q$271)*('2024_Roster_Offseason'!$A211='2024_Draft_team'!$B$2:$B$271),0))</f>
        <v>N/A</v>
      </c>
      <c r="Q211" s="12" t="s">
        <v>34</v>
      </c>
    </row>
    <row r="212" ht="14.25" customHeight="1">
      <c r="A212" s="2" t="s">
        <v>9</v>
      </c>
      <c r="B212" s="2" t="s">
        <v>39</v>
      </c>
      <c r="C212" s="2" t="s">
        <v>306</v>
      </c>
      <c r="D212" s="2" t="s">
        <v>100</v>
      </c>
      <c r="E212" s="2" t="s">
        <v>39</v>
      </c>
      <c r="F212" s="2" t="s">
        <v>32</v>
      </c>
      <c r="G212" s="2" t="s">
        <v>213</v>
      </c>
      <c r="H212" s="2"/>
      <c r="I212" s="2" t="str">
        <f>'2024_Roster_Offseason'!$C212&amp;'2024_Roster_Offseason'!$D212</f>
        <v>JamesConner</v>
      </c>
      <c r="J212" s="7">
        <v>0.98</v>
      </c>
      <c r="K212" s="7">
        <v>0.71</v>
      </c>
      <c r="L212" s="2">
        <v>0.0</v>
      </c>
      <c r="M212" s="2">
        <v>24.25</v>
      </c>
      <c r="N212" s="2">
        <v>0.0</v>
      </c>
      <c r="O212" s="2" t="str">
        <f t="array" ref="O212">INDEX('2024_Transactions'!$J$2:$J$339,MATCH(1,('2024_Transactions'!$C$2:$C$339='2024_Roster_Offseason'!$I212)*('2024_Roster_Offseason'!$A212='2024_Transactions'!$B$2:$B$339),0))</f>
        <v>#N/A</v>
      </c>
      <c r="P212" s="8">
        <f t="array" ref="P212">INDEX('2024_Draft_team'!$J$2:$J$271,MATCH(1,('2024_Roster_Offseason'!$I212='2024_Draft_team'!$Q$2:$Q$271)*('2024_Roster_Offseason'!$A212='2024_Draft_team'!$B$2:$B$271),0))</f>
        <v>5</v>
      </c>
      <c r="Q212" s="9" t="s">
        <v>34</v>
      </c>
    </row>
    <row r="213" ht="14.25" customHeight="1">
      <c r="A213" s="3" t="s">
        <v>9</v>
      </c>
      <c r="B213" s="3" t="s">
        <v>46</v>
      </c>
      <c r="C213" s="3" t="s">
        <v>423</v>
      </c>
      <c r="D213" s="3" t="s">
        <v>424</v>
      </c>
      <c r="E213" s="3" t="s">
        <v>46</v>
      </c>
      <c r="F213" s="3" t="s">
        <v>32</v>
      </c>
      <c r="G213" s="3" t="s">
        <v>238</v>
      </c>
      <c r="H213" s="3"/>
      <c r="I213" s="3" t="str">
        <f>'2024_Roster_Offseason'!$C213&amp;'2024_Roster_Offseason'!$D213</f>
        <v>MikeEvans</v>
      </c>
      <c r="J213" s="10">
        <v>1.0</v>
      </c>
      <c r="K213" s="10">
        <v>0.94</v>
      </c>
      <c r="L213" s="3">
        <v>0.0</v>
      </c>
      <c r="M213" s="3">
        <v>29.29</v>
      </c>
      <c r="N213" s="3">
        <v>0.0</v>
      </c>
      <c r="O213" s="3" t="str">
        <f t="array" ref="O213">INDEX('2024_Transactions'!$J$2:$J$339,MATCH(1,('2024_Transactions'!$C$2:$C$339='2024_Roster_Offseason'!$I213)*('2024_Roster_Offseason'!$A213='2024_Transactions'!$B$2:$B$339),0))</f>
        <v>#N/A</v>
      </c>
      <c r="P213" s="11">
        <f t="array" ref="P213">INDEX('2024_Draft_team'!$J$2:$J$271,MATCH(1,('2024_Roster_Offseason'!$I213='2024_Draft_team'!$Q$2:$Q$271)*('2024_Roster_Offseason'!$A213='2024_Draft_team'!$B$2:$B$271),0))</f>
        <v>23</v>
      </c>
      <c r="Q213" s="12" t="s">
        <v>38</v>
      </c>
    </row>
    <row r="214" ht="14.25" customHeight="1">
      <c r="A214" s="2" t="s">
        <v>9</v>
      </c>
      <c r="B214" s="2" t="s">
        <v>46</v>
      </c>
      <c r="C214" s="2" t="s">
        <v>425</v>
      </c>
      <c r="D214" s="2" t="s">
        <v>426</v>
      </c>
      <c r="E214" s="2" t="s">
        <v>46</v>
      </c>
      <c r="F214" s="2" t="s">
        <v>32</v>
      </c>
      <c r="G214" s="2" t="s">
        <v>90</v>
      </c>
      <c r="H214" s="2"/>
      <c r="I214" s="2" t="str">
        <f>'2024_Roster_Offseason'!$C214&amp;'2024_Roster_Offseason'!$D214</f>
        <v>DeAndreHopkins</v>
      </c>
      <c r="J214" s="7">
        <v>0.93</v>
      </c>
      <c r="K214" s="7">
        <v>0.36</v>
      </c>
      <c r="L214" s="2">
        <v>19.0</v>
      </c>
      <c r="M214" s="2">
        <v>16.94</v>
      </c>
      <c r="N214" s="2">
        <v>0.0</v>
      </c>
      <c r="O214" s="2" t="str">
        <f t="array" ref="O214">INDEX('2024_Transactions'!$J$2:$J$339,MATCH(1,('2024_Transactions'!$C$2:$C$339='2024_Roster_Offseason'!$I214)*('2024_Roster_Offseason'!$A214='2024_Transactions'!$B$2:$B$339),0))</f>
        <v>Signed</v>
      </c>
      <c r="P214" s="14">
        <f t="array" ref="P214">IFERROR(INDEX('2024_Draft_team'!$J$2:$J$271,MATCH(1,('2024_Roster_Offseason'!$I214='2024_Draft_team'!$Q$2:$Q$271)*('2024_Roster_Offseason'!$A214='2024_Draft_team'!$B$2:$B$271),0)),15)</f>
        <v>15</v>
      </c>
      <c r="Q214" s="9" t="s">
        <v>34</v>
      </c>
    </row>
    <row r="215" ht="14.25" customHeight="1">
      <c r="A215" s="3" t="s">
        <v>9</v>
      </c>
      <c r="B215" s="3" t="s">
        <v>46</v>
      </c>
      <c r="C215" s="3" t="s">
        <v>427</v>
      </c>
      <c r="D215" s="3" t="s">
        <v>428</v>
      </c>
      <c r="E215" s="3" t="s">
        <v>46</v>
      </c>
      <c r="F215" s="3" t="s">
        <v>32</v>
      </c>
      <c r="G215" s="3" t="s">
        <v>110</v>
      </c>
      <c r="H215" s="3"/>
      <c r="I215" s="3" t="str">
        <f>'2024_Roster_Offseason'!$C215&amp;'2024_Roster_Offseason'!$D215</f>
        <v>JaxonSmith-Njigba</v>
      </c>
      <c r="J215" s="10">
        <v>0.97</v>
      </c>
      <c r="K215" s="10">
        <v>0.86</v>
      </c>
      <c r="L215" s="3">
        <v>0.0</v>
      </c>
      <c r="M215" s="3">
        <v>22.82</v>
      </c>
      <c r="N215" s="3">
        <v>0.0</v>
      </c>
      <c r="O215" s="3" t="str">
        <f t="array" ref="O215">INDEX('2024_Transactions'!$J$2:$J$339,MATCH(1,('2024_Transactions'!$C$2:$C$339='2024_Roster_Offseason'!$I215)*('2024_Roster_Offseason'!$A215='2024_Transactions'!$B$2:$B$339),0))</f>
        <v>#N/A</v>
      </c>
      <c r="P215" s="11">
        <f t="array" ref="P215">INDEX('2024_Draft_team'!$J$2:$J$271,MATCH(1,('2024_Roster_Offseason'!$I215='2024_Draft_team'!$Q$2:$Q$271)*('2024_Roster_Offseason'!$A215='2024_Draft_team'!$B$2:$B$271),0))</f>
        <v>16</v>
      </c>
      <c r="Q215" s="12" t="s">
        <v>38</v>
      </c>
    </row>
    <row r="216" ht="14.25" customHeight="1">
      <c r="A216" s="2" t="s">
        <v>9</v>
      </c>
      <c r="B216" s="2" t="s">
        <v>55</v>
      </c>
      <c r="C216" s="2" t="s">
        <v>101</v>
      </c>
      <c r="D216" s="2" t="s">
        <v>429</v>
      </c>
      <c r="E216" s="2" t="s">
        <v>55</v>
      </c>
      <c r="F216" s="2" t="s">
        <v>32</v>
      </c>
      <c r="G216" s="2" t="s">
        <v>87</v>
      </c>
      <c r="H216" s="2"/>
      <c r="I216" s="2" t="str">
        <f>'2024_Roster_Offseason'!$C216&amp;'2024_Roster_Offseason'!$D216</f>
        <v>BrandonAubrey</v>
      </c>
      <c r="J216" s="7">
        <v>1.0</v>
      </c>
      <c r="K216" s="7">
        <v>0.9</v>
      </c>
      <c r="L216" s="2">
        <v>0.0</v>
      </c>
      <c r="M216" s="2">
        <v>24.59</v>
      </c>
      <c r="N216" s="2">
        <v>0.0</v>
      </c>
      <c r="O216" s="2" t="str">
        <f t="array" ref="O216">INDEX('2024_Transactions'!$J$2:$J$339,MATCH(1,('2024_Transactions'!$C$2:$C$339='2024_Roster_Offseason'!$I216)*('2024_Roster_Offseason'!$A216='2024_Transactions'!$B$2:$B$339),0))</f>
        <v>#N/A</v>
      </c>
      <c r="P216" s="8">
        <f t="array" ref="P216">INDEX('2024_Draft_team'!$J$2:$J$271,MATCH(1,('2024_Roster_Offseason'!$I216='2024_Draft_team'!$Q$2:$Q$271)*('2024_Roster_Offseason'!$A216='2024_Draft_team'!$B$2:$B$271),0))</f>
        <v>22</v>
      </c>
      <c r="Q216" s="9" t="s">
        <v>34</v>
      </c>
    </row>
    <row r="217" ht="14.25" customHeight="1">
      <c r="A217" s="3" t="s">
        <v>9</v>
      </c>
      <c r="B217" s="3" t="s">
        <v>59</v>
      </c>
      <c r="C217" s="3" t="s">
        <v>430</v>
      </c>
      <c r="D217" s="3" t="s">
        <v>431</v>
      </c>
      <c r="E217" s="3" t="s">
        <v>131</v>
      </c>
      <c r="F217" s="3" t="s">
        <v>59</v>
      </c>
      <c r="G217" s="3" t="s">
        <v>32</v>
      </c>
      <c r="H217" s="3" t="s">
        <v>172</v>
      </c>
      <c r="I217" s="3" t="str">
        <f>'2024_Roster_Offseason'!$C217&amp;'2024_Roster_Offseason'!$D217&amp;'2024_Roster_Offseason'!$E217</f>
        <v>WillAndersonJr.</v>
      </c>
      <c r="J217" s="10">
        <v>0.89</v>
      </c>
      <c r="K217" s="10">
        <v>0.68</v>
      </c>
      <c r="L217" s="3">
        <v>0.0</v>
      </c>
      <c r="M217" s="3">
        <v>21.86</v>
      </c>
      <c r="N217" s="3">
        <v>0.0</v>
      </c>
      <c r="O217" s="3" t="str">
        <f t="array" ref="O217">INDEX('2024_Transactions'!$J$2:$J$339,MATCH(1,('2024_Transactions'!$C$2:$C$339='2024_Roster_Offseason'!$I217)*('2024_Roster_Offseason'!$A217='2024_Transactions'!$B$2:$B$339),0))</f>
        <v>#N/A</v>
      </c>
      <c r="P217" s="11">
        <f t="array" ref="P217">INDEX('2024_Draft_team'!$J$2:$J$271,MATCH(1,('2024_Roster_Offseason'!$I217='2024_Draft_team'!$Q$2:$Q$271)*('2024_Roster_Offseason'!$A217='2024_Draft_team'!$B$2:$B$271),0))</f>
        <v>7</v>
      </c>
      <c r="Q217" s="12" t="s">
        <v>38</v>
      </c>
    </row>
    <row r="218" ht="14.25" customHeight="1">
      <c r="A218" s="2" t="s">
        <v>9</v>
      </c>
      <c r="B218" s="2" t="s">
        <v>59</v>
      </c>
      <c r="C218" s="2" t="s">
        <v>432</v>
      </c>
      <c r="D218" s="2" t="s">
        <v>433</v>
      </c>
      <c r="E218" s="2" t="s">
        <v>59</v>
      </c>
      <c r="F218" s="2" t="s">
        <v>32</v>
      </c>
      <c r="G218" s="2" t="s">
        <v>124</v>
      </c>
      <c r="H218" s="2"/>
      <c r="I218" s="2" t="str">
        <f>'2024_Roster_Offseason'!$C218&amp;'2024_Roster_Offseason'!$D218</f>
        <v>NakobeDean</v>
      </c>
      <c r="J218" s="7">
        <v>0.67</v>
      </c>
      <c r="K218" s="7">
        <v>0.43</v>
      </c>
      <c r="L218" s="2">
        <v>0.0</v>
      </c>
      <c r="M218" s="2">
        <v>25.33</v>
      </c>
      <c r="N218" s="2">
        <v>0.0</v>
      </c>
      <c r="O218" s="2" t="str">
        <f t="array" ref="O218">INDEX('2024_Transactions'!$J$2:$J$339,MATCH(1,('2024_Transactions'!$C$2:$C$339='2024_Roster_Offseason'!$I218)*('2024_Roster_Offseason'!$A218='2024_Transactions'!$B$2:$B$339),0))</f>
        <v>#N/A</v>
      </c>
      <c r="P218" s="8">
        <f t="array" ref="P218">INDEX('2024_Draft_team'!$J$2:$J$271,MATCH(1,('2024_Roster_Offseason'!$I218='2024_Draft_team'!$Q$2:$Q$271)*('2024_Roster_Offseason'!$A218='2024_Draft_team'!$B$2:$B$271),0))</f>
        <v>14</v>
      </c>
      <c r="Q218" s="9" t="s">
        <v>34</v>
      </c>
    </row>
    <row r="219" ht="14.25" customHeight="1">
      <c r="A219" s="3" t="s">
        <v>9</v>
      </c>
      <c r="B219" s="3" t="s">
        <v>59</v>
      </c>
      <c r="C219" s="3" t="s">
        <v>434</v>
      </c>
      <c r="D219" s="3" t="s">
        <v>435</v>
      </c>
      <c r="E219" s="3" t="s">
        <v>59</v>
      </c>
      <c r="F219" s="3" t="s">
        <v>32</v>
      </c>
      <c r="G219" s="3" t="s">
        <v>66</v>
      </c>
      <c r="H219" s="3"/>
      <c r="I219" s="3" t="str">
        <f>'2024_Roster_Offseason'!$C219&amp;'2024_Roster_Offseason'!$D219</f>
        <v>TremaineEdmunds</v>
      </c>
      <c r="J219" s="10">
        <v>0.4</v>
      </c>
      <c r="K219" s="10">
        <v>0.25</v>
      </c>
      <c r="L219" s="3">
        <v>0.0</v>
      </c>
      <c r="M219" s="3">
        <v>16.35</v>
      </c>
      <c r="N219" s="3">
        <v>0.0</v>
      </c>
      <c r="O219" s="3" t="str">
        <f t="array" ref="O219">INDEX('2024_Transactions'!$J$2:$J$339,MATCH(1,('2024_Transactions'!$C$2:$C$339='2024_Roster_Offseason'!$I219)*('2024_Roster_Offseason'!$A219='2024_Transactions'!$B$2:$B$339),0))</f>
        <v>#N/A</v>
      </c>
      <c r="P219" s="11">
        <f t="array" ref="P219">INDEX('2024_Draft_team'!$J$2:$J$271,MATCH(1,('2024_Roster_Offseason'!$I219='2024_Draft_team'!$Q$2:$Q$271)*('2024_Roster_Offseason'!$A219='2024_Draft_team'!$B$2:$B$271),0))</f>
        <v>4</v>
      </c>
      <c r="Q219" s="12" t="s">
        <v>34</v>
      </c>
    </row>
    <row r="220" ht="14.25" customHeight="1">
      <c r="A220" s="2" t="s">
        <v>9</v>
      </c>
      <c r="B220" s="2" t="s">
        <v>59</v>
      </c>
      <c r="C220" s="2" t="s">
        <v>43</v>
      </c>
      <c r="D220" s="2" t="s">
        <v>436</v>
      </c>
      <c r="E220" s="2" t="s">
        <v>59</v>
      </c>
      <c r="F220" s="2" t="s">
        <v>32</v>
      </c>
      <c r="G220" s="2" t="s">
        <v>148</v>
      </c>
      <c r="H220" s="2"/>
      <c r="I220" s="2" t="str">
        <f>'2024_Roster_Offseason'!$C220&amp;'2024_Roster_Offseason'!$D220</f>
        <v>JoshHines-Allen</v>
      </c>
      <c r="J220" s="7">
        <v>0.23</v>
      </c>
      <c r="K220" s="7">
        <v>0.13</v>
      </c>
      <c r="L220" s="2">
        <v>0.0</v>
      </c>
      <c r="M220" s="2">
        <v>12.75</v>
      </c>
      <c r="N220" s="2">
        <v>0.0</v>
      </c>
      <c r="O220" s="2" t="str">
        <f t="array" ref="O220">INDEX('2024_Transactions'!$J$2:$J$339,MATCH(1,('2024_Transactions'!$C$2:$C$339='2024_Roster_Offseason'!$I220)*('2024_Roster_Offseason'!$A220='2024_Transactions'!$B$2:$B$339),0))</f>
        <v>#N/A</v>
      </c>
      <c r="P220" s="8">
        <f t="array" ref="P220">INDEX('2024_Draft_team'!$J$2:$J$271,MATCH(1,('2024_Roster_Offseason'!$I220='2024_Draft_team'!$Q$2:$Q$271)*('2024_Roster_Offseason'!$A220='2024_Draft_team'!$B$2:$B$271),0))</f>
        <v>6</v>
      </c>
      <c r="Q220" s="9" t="s">
        <v>34</v>
      </c>
    </row>
    <row r="221" ht="14.25" customHeight="1">
      <c r="A221" s="3" t="s">
        <v>9</v>
      </c>
      <c r="B221" s="3" t="s">
        <v>59</v>
      </c>
      <c r="C221" s="3" t="s">
        <v>430</v>
      </c>
      <c r="D221" s="3" t="s">
        <v>437</v>
      </c>
      <c r="E221" s="3" t="s">
        <v>438</v>
      </c>
      <c r="F221" s="3" t="s">
        <v>59</v>
      </c>
      <c r="G221" s="3" t="s">
        <v>32</v>
      </c>
      <c r="H221" s="3" t="s">
        <v>49</v>
      </c>
      <c r="I221" s="3" t="str">
        <f>'2024_Roster_Offseason'!$C221&amp;'2024_Roster_Offseason'!$D221&amp;'2024_Roster_Offseason'!$E221</f>
        <v>WillMcDonaldIV</v>
      </c>
      <c r="J221" s="10">
        <v>0.39</v>
      </c>
      <c r="K221" s="10">
        <v>0.23</v>
      </c>
      <c r="L221" s="3">
        <v>0.0</v>
      </c>
      <c r="M221" s="3">
        <v>11.82</v>
      </c>
      <c r="N221" s="3">
        <v>0.0</v>
      </c>
      <c r="O221" s="3" t="str">
        <f t="array" ref="O221">INDEX('2024_Transactions'!$J$2:$J$339,MATCH(1,('2024_Transactions'!$C$2:$C$339='2024_Roster_Offseason'!$I221)*('2024_Roster_Offseason'!$A221='2024_Transactions'!$B$2:$B$339),0))</f>
        <v>#N/A</v>
      </c>
      <c r="P221" s="11">
        <f t="array" ref="P221">INDEX('2024_Draft_team'!$J$2:$J$271,MATCH(1,('2024_Roster_Offseason'!$I221='2024_Draft_team'!$Q$2:$Q$271)*('2024_Roster_Offseason'!$A221='2024_Draft_team'!$B$2:$B$271),0))</f>
        <v>17</v>
      </c>
      <c r="Q221" s="12" t="s">
        <v>38</v>
      </c>
    </row>
    <row r="222" ht="14.25" customHeight="1">
      <c r="A222" s="2" t="s">
        <v>9</v>
      </c>
      <c r="B222" s="2" t="s">
        <v>59</v>
      </c>
      <c r="C222" s="2" t="s">
        <v>439</v>
      </c>
      <c r="D222" s="2" t="s">
        <v>440</v>
      </c>
      <c r="E222" s="2" t="s">
        <v>59</v>
      </c>
      <c r="F222" s="2" t="s">
        <v>32</v>
      </c>
      <c r="G222" s="2" t="s">
        <v>49</v>
      </c>
      <c r="H222" s="2"/>
      <c r="I222" s="2" t="str">
        <f>'2024_Roster_Offseason'!$C222&amp;'2024_Roster_Offseason'!$D222</f>
        <v>JamienSherwood</v>
      </c>
      <c r="J222" s="7">
        <v>0.49</v>
      </c>
      <c r="K222" s="7">
        <v>0.37</v>
      </c>
      <c r="L222" s="2">
        <v>0.0</v>
      </c>
      <c r="M222" s="2">
        <v>23.53</v>
      </c>
      <c r="N222" s="2">
        <v>0.0</v>
      </c>
      <c r="O222" s="2" t="str">
        <f t="array" ref="O222">INDEX('2024_Transactions'!$J$2:$J$339,MATCH(1,('2024_Transactions'!$C$2:$C$339='2024_Roster_Offseason'!$I222)*('2024_Roster_Offseason'!$A222='2024_Transactions'!$B$2:$B$339),0))</f>
        <v>Signed</v>
      </c>
      <c r="P222" s="14">
        <f t="array" ref="P222">IFERROR(INDEX('2024_Draft_team'!$J$2:$J$271,MATCH(1,('2024_Roster_Offseason'!$I222='2024_Draft_team'!$Q$2:$Q$271)*('2024_Roster_Offseason'!$A222='2024_Draft_team'!$B$2:$B$271),0)),15)</f>
        <v>15</v>
      </c>
      <c r="Q222" s="9" t="s">
        <v>38</v>
      </c>
    </row>
    <row r="223" ht="14.25" customHeight="1">
      <c r="A223" s="3" t="s">
        <v>9</v>
      </c>
      <c r="B223" s="3" t="s">
        <v>59</v>
      </c>
      <c r="C223" s="3" t="s">
        <v>441</v>
      </c>
      <c r="D223" s="3" t="s">
        <v>297</v>
      </c>
      <c r="E223" s="3" t="s">
        <v>59</v>
      </c>
      <c r="F223" s="3" t="s">
        <v>32</v>
      </c>
      <c r="G223" s="3" t="s">
        <v>93</v>
      </c>
      <c r="H223" s="3"/>
      <c r="I223" s="3" t="str">
        <f>'2024_Roster_Offseason'!$C223&amp;'2024_Roster_Offseason'!$D223</f>
        <v>DorianWilliams</v>
      </c>
      <c r="J223" s="10">
        <v>0.24</v>
      </c>
      <c r="K223" s="10">
        <v>0.08</v>
      </c>
      <c r="L223" s="3">
        <v>0.0</v>
      </c>
      <c r="M223" s="3">
        <v>17.12</v>
      </c>
      <c r="N223" s="3">
        <v>0.0</v>
      </c>
      <c r="O223" s="3" t="str">
        <f t="array" ref="O223">INDEX('2024_Transactions'!$J$2:$J$339,MATCH(1,('2024_Transactions'!$C$2:$C$339='2024_Roster_Offseason'!$I223)*('2024_Roster_Offseason'!$A223='2024_Transactions'!$B$2:$B$339),0))</f>
        <v>#N/A</v>
      </c>
      <c r="P223" s="11">
        <f t="array" ref="P223">INDEX('2024_Draft_team'!$J$2:$J$271,MATCH(1,('2024_Roster_Offseason'!$I223='2024_Draft_team'!$Q$2:$Q$271)*('2024_Roster_Offseason'!$A223='2024_Draft_team'!$B$2:$B$271),0))</f>
        <v>16</v>
      </c>
      <c r="Q223" s="12" t="s">
        <v>34</v>
      </c>
    </row>
    <row r="224" ht="14.25" customHeight="1">
      <c r="A224" s="2" t="s">
        <v>9</v>
      </c>
      <c r="B224" s="2" t="s">
        <v>29</v>
      </c>
      <c r="C224" s="2" t="s">
        <v>442</v>
      </c>
      <c r="D224" s="2" t="s">
        <v>443</v>
      </c>
      <c r="E224" s="2" t="s">
        <v>29</v>
      </c>
      <c r="F224" s="2" t="s">
        <v>32</v>
      </c>
      <c r="G224" s="2" t="s">
        <v>444</v>
      </c>
      <c r="H224" s="2"/>
      <c r="I224" s="2" t="str">
        <f>'2024_Roster_Offseason'!$C224&amp;'2024_Roster_Offseason'!$D224</f>
        <v>DrakeMaye</v>
      </c>
      <c r="J224" s="7">
        <v>0.4</v>
      </c>
      <c r="K224" s="7">
        <v>0.1</v>
      </c>
      <c r="L224" s="2">
        <v>0.0</v>
      </c>
      <c r="M224" s="2">
        <v>31.0</v>
      </c>
      <c r="N224" s="2">
        <v>0.0</v>
      </c>
      <c r="O224" s="2" t="str">
        <f t="array" ref="O224">INDEX('2024_Transactions'!$J$2:$J$339,MATCH(1,('2024_Transactions'!$C$2:$C$339='2024_Roster_Offseason'!$I224)*('2024_Roster_Offseason'!$A224='2024_Transactions'!$B$2:$B$339),0))</f>
        <v>#N/A</v>
      </c>
      <c r="P224" s="8">
        <f t="array" ref="P224">INDEX('2024_Draft_team'!$J$2:$J$271,MATCH(1,('2024_Roster_Offseason'!$I224='2024_Draft_team'!$Q$2:$Q$271)*('2024_Roster_Offseason'!$A224='2024_Draft_team'!$B$2:$B$271),0))</f>
        <v>24</v>
      </c>
      <c r="Q224" s="9" t="s">
        <v>38</v>
      </c>
    </row>
    <row r="225" ht="14.25" customHeight="1">
      <c r="A225" s="3" t="s">
        <v>9</v>
      </c>
      <c r="B225" s="3" t="s">
        <v>39</v>
      </c>
      <c r="C225" s="3" t="s">
        <v>142</v>
      </c>
      <c r="D225" s="3" t="s">
        <v>161</v>
      </c>
      <c r="E225" s="3" t="s">
        <v>39</v>
      </c>
      <c r="F225" s="3" t="s">
        <v>32</v>
      </c>
      <c r="G225" s="3" t="s">
        <v>105</v>
      </c>
      <c r="H225" s="3"/>
      <c r="I225" s="3" t="str">
        <f>'2024_Roster_Offseason'!$C225&amp;'2024_Roster_Offseason'!$D225</f>
        <v>JonathanTaylor</v>
      </c>
      <c r="J225" s="10">
        <v>1.0</v>
      </c>
      <c r="K225" s="10">
        <v>0.78</v>
      </c>
      <c r="L225" s="3">
        <v>0.0</v>
      </c>
      <c r="M225" s="3">
        <v>29.93</v>
      </c>
      <c r="N225" s="3">
        <v>0.0</v>
      </c>
      <c r="O225" s="3" t="str">
        <f t="array" ref="O225">INDEX('2024_Transactions'!$J$2:$J$339,MATCH(1,('2024_Transactions'!$C$2:$C$339='2024_Roster_Offseason'!$I225)*('2024_Roster_Offseason'!$A225='2024_Transactions'!$B$2:$B$339),0))</f>
        <v>#N/A</v>
      </c>
      <c r="P225" s="11">
        <f t="array" ref="P225">INDEX('2024_Draft_team'!$J$2:$J$271,MATCH(1,('2024_Roster_Offseason'!$I225='2024_Draft_team'!$Q$2:$Q$271)*('2024_Roster_Offseason'!$A225='2024_Draft_team'!$B$2:$B$271),0))</f>
        <v>3</v>
      </c>
      <c r="Q225" s="12" t="s">
        <v>38</v>
      </c>
    </row>
    <row r="226" ht="14.25" customHeight="1">
      <c r="A226" s="2" t="s">
        <v>9</v>
      </c>
      <c r="B226" s="2" t="s">
        <v>46</v>
      </c>
      <c r="C226" s="2" t="s">
        <v>445</v>
      </c>
      <c r="D226" s="2" t="s">
        <v>94</v>
      </c>
      <c r="E226" s="2" t="s">
        <v>46</v>
      </c>
      <c r="F226" s="2" t="s">
        <v>32</v>
      </c>
      <c r="G226" s="2" t="s">
        <v>66</v>
      </c>
      <c r="H226" s="2"/>
      <c r="I226" s="2" t="str">
        <f>'2024_Roster_Offseason'!$C226&amp;'2024_Roster_Offseason'!$D226</f>
        <v>KeenanAllen</v>
      </c>
      <c r="J226" s="7">
        <v>0.88</v>
      </c>
      <c r="K226" s="7">
        <v>0.53</v>
      </c>
      <c r="L226" s="2">
        <v>0.0</v>
      </c>
      <c r="M226" s="2">
        <v>20.67</v>
      </c>
      <c r="N226" s="2">
        <v>0.0</v>
      </c>
      <c r="O226" s="2" t="str">
        <f t="array" ref="O226">INDEX('2024_Transactions'!$J$2:$J$339,MATCH(1,('2024_Transactions'!$C$2:$C$339='2024_Roster_Offseason'!$I226)*('2024_Roster_Offseason'!$A226='2024_Transactions'!$B$2:$B$339),0))</f>
        <v>Signed</v>
      </c>
      <c r="P226" s="14">
        <f t="array" ref="P226">IFERROR(INDEX('2024_Draft_team'!$J$2:$J$271,MATCH(1,('2024_Roster_Offseason'!$I226='2024_Draft_team'!$Q$2:$Q$271)*('2024_Roster_Offseason'!$A226='2024_Draft_team'!$B$2:$B$271),0)),15)</f>
        <v>15</v>
      </c>
      <c r="Q226" s="9" t="s">
        <v>34</v>
      </c>
    </row>
    <row r="227" ht="14.25" customHeight="1">
      <c r="A227" s="3" t="s">
        <v>9</v>
      </c>
      <c r="B227" s="3" t="s">
        <v>46</v>
      </c>
      <c r="C227" s="3" t="s">
        <v>446</v>
      </c>
      <c r="D227" s="3" t="s">
        <v>447</v>
      </c>
      <c r="E227" s="3" t="s">
        <v>46</v>
      </c>
      <c r="F227" s="3" t="s">
        <v>32</v>
      </c>
      <c r="G227" s="3" t="s">
        <v>172</v>
      </c>
      <c r="H227" s="3"/>
      <c r="I227" s="3" t="str">
        <f>'2024_Roster_Offseason'!$C227&amp;'2024_Roster_Offseason'!$D227</f>
        <v>TankDell</v>
      </c>
      <c r="J227" s="10">
        <v>0.77</v>
      </c>
      <c r="K227" s="10">
        <v>0.09</v>
      </c>
      <c r="L227" s="3">
        <v>0.0</v>
      </c>
      <c r="M227" s="3">
        <v>16.57</v>
      </c>
      <c r="N227" s="3">
        <v>0.0</v>
      </c>
      <c r="O227" s="3" t="str">
        <f t="array" ref="O227">INDEX('2024_Transactions'!$J$2:$J$339,MATCH(1,('2024_Transactions'!$C$2:$C$339='2024_Roster_Offseason'!$I227)*('2024_Roster_Offseason'!$A227='2024_Transactions'!$B$2:$B$339),0))</f>
        <v>#N/A</v>
      </c>
      <c r="P227" s="11">
        <f t="array" ref="P227">INDEX('2024_Draft_team'!$J$2:$J$271,MATCH(1,('2024_Roster_Offseason'!$I227='2024_Draft_team'!$Q$2:$Q$271)*('2024_Roster_Offseason'!$A227='2024_Draft_team'!$B$2:$B$271),0))</f>
        <v>13</v>
      </c>
      <c r="Q227" s="12" t="s">
        <v>34</v>
      </c>
    </row>
    <row r="228" ht="14.25" customHeight="1">
      <c r="A228" s="2" t="s">
        <v>9</v>
      </c>
      <c r="B228" s="2" t="s">
        <v>46</v>
      </c>
      <c r="C228" s="2" t="s">
        <v>448</v>
      </c>
      <c r="D228" s="2" t="s">
        <v>266</v>
      </c>
      <c r="E228" s="2" t="s">
        <v>46</v>
      </c>
      <c r="F228" s="2" t="s">
        <v>32</v>
      </c>
      <c r="G228" s="2" t="s">
        <v>179</v>
      </c>
      <c r="H228" s="2"/>
      <c r="I228" s="2" t="str">
        <f>'2024_Roster_Offseason'!$C228&amp;'2024_Roster_Offseason'!$D228</f>
        <v>DiontaeJohnson</v>
      </c>
      <c r="J228" s="7">
        <v>0.25</v>
      </c>
      <c r="K228" s="7">
        <v>0.02</v>
      </c>
      <c r="L228" s="2">
        <v>0.0</v>
      </c>
      <c r="M228" s="2">
        <v>12.42</v>
      </c>
      <c r="N228" s="2">
        <v>0.0</v>
      </c>
      <c r="O228" s="2" t="str">
        <f t="array" ref="O228">INDEX('2024_Transactions'!$J$2:$J$339,MATCH(1,('2024_Transactions'!$C$2:$C$339='2024_Roster_Offseason'!$I228)*('2024_Roster_Offseason'!$A228='2024_Transactions'!$B$2:$B$339),0))</f>
        <v>#N/A</v>
      </c>
      <c r="P228" s="8">
        <f t="array" ref="P228">INDEX('2024_Draft_team'!$J$2:$J$271,MATCH(1,('2024_Roster_Offseason'!$I228='2024_Draft_team'!$Q$2:$Q$271)*('2024_Roster_Offseason'!$A228='2024_Draft_team'!$B$2:$B$271),0))</f>
        <v>13</v>
      </c>
      <c r="Q228" s="9" t="s">
        <v>34</v>
      </c>
    </row>
    <row r="229" ht="14.25" customHeight="1">
      <c r="A229" s="3" t="s">
        <v>9</v>
      </c>
      <c r="B229" s="3" t="s">
        <v>46</v>
      </c>
      <c r="C229" s="3" t="s">
        <v>449</v>
      </c>
      <c r="D229" s="3" t="s">
        <v>187</v>
      </c>
      <c r="E229" s="3" t="s">
        <v>46</v>
      </c>
      <c r="F229" s="3" t="s">
        <v>32</v>
      </c>
      <c r="G229" s="3" t="s">
        <v>124</v>
      </c>
      <c r="H229" s="3"/>
      <c r="I229" s="3" t="str">
        <f>'2024_Roster_Offseason'!$C229&amp;'2024_Roster_Offseason'!$D229</f>
        <v>DeVontaSmith</v>
      </c>
      <c r="J229" s="10">
        <v>0.99</v>
      </c>
      <c r="K229" s="10">
        <v>0.64</v>
      </c>
      <c r="L229" s="3">
        <v>27.0</v>
      </c>
      <c r="M229" s="3">
        <v>29.69</v>
      </c>
      <c r="N229" s="3">
        <v>0.0</v>
      </c>
      <c r="O229" s="3" t="str">
        <f t="array" ref="O229">INDEX('2024_Transactions'!$J$2:$J$339,MATCH(1,('2024_Transactions'!$C$2:$C$339='2024_Roster_Offseason'!$I229)*('2024_Roster_Offseason'!$A229='2024_Transactions'!$B$2:$B$339),0))</f>
        <v>#N/A</v>
      </c>
      <c r="P229" s="11">
        <f t="array" ref="P229">INDEX('2024_Draft_team'!$J$2:$J$271,MATCH(1,('2024_Roster_Offseason'!$I229='2024_Draft_team'!$Q$2:$Q$271)*('2024_Roster_Offseason'!$A229='2024_Draft_team'!$B$2:$B$271),0))</f>
        <v>4</v>
      </c>
      <c r="Q229" s="12" t="s">
        <v>34</v>
      </c>
    </row>
    <row r="230" ht="14.25" customHeight="1">
      <c r="A230" s="2" t="s">
        <v>9</v>
      </c>
      <c r="B230" s="2" t="s">
        <v>59</v>
      </c>
      <c r="C230" s="2" t="s">
        <v>450</v>
      </c>
      <c r="D230" s="2" t="s">
        <v>247</v>
      </c>
      <c r="E230" s="2" t="s">
        <v>59</v>
      </c>
      <c r="F230" s="2" t="s">
        <v>32</v>
      </c>
      <c r="G230" s="2" t="s">
        <v>71</v>
      </c>
      <c r="H230" s="2"/>
      <c r="I230" s="2" t="str">
        <f>'2024_Roster_Offseason'!$C230&amp;'2024_Roster_Offseason'!$D230</f>
        <v>JeromeBaker</v>
      </c>
      <c r="J230" s="7">
        <v>0.17</v>
      </c>
      <c r="K230" s="7">
        <v>0.07</v>
      </c>
      <c r="L230" s="2">
        <v>0.0</v>
      </c>
      <c r="M230" s="2">
        <v>16.4</v>
      </c>
      <c r="N230" s="2">
        <v>0.0</v>
      </c>
      <c r="O230" s="2" t="str">
        <f t="array" ref="O230">INDEX('2024_Transactions'!$J$2:$J$339,MATCH(1,('2024_Transactions'!$C$2:$C$339='2024_Roster_Offseason'!$I230)*('2024_Roster_Offseason'!$A230='2024_Transactions'!$B$2:$B$339),0))</f>
        <v>#N/A</v>
      </c>
      <c r="P230" s="8">
        <f t="array" ref="P230">INDEX('2024_Draft_team'!$J$2:$J$271,MATCH(1,('2024_Roster_Offseason'!$I230='2024_Draft_team'!$Q$2:$Q$271)*('2024_Roster_Offseason'!$A230='2024_Draft_team'!$B$2:$B$271),0))</f>
        <v>15</v>
      </c>
      <c r="Q230" s="9" t="s">
        <v>34</v>
      </c>
    </row>
    <row r="231" ht="14.25" customHeight="1">
      <c r="A231" s="3" t="s">
        <v>9</v>
      </c>
      <c r="B231" s="3" t="s">
        <v>59</v>
      </c>
      <c r="C231" s="3" t="s">
        <v>451</v>
      </c>
      <c r="D231" s="3" t="s">
        <v>452</v>
      </c>
      <c r="E231" s="3" t="s">
        <v>59</v>
      </c>
      <c r="F231" s="3" t="s">
        <v>32</v>
      </c>
      <c r="G231" s="3" t="s">
        <v>124</v>
      </c>
      <c r="H231" s="3"/>
      <c r="I231" s="3" t="str">
        <f>'2024_Roster_Offseason'!$C231&amp;'2024_Roster_Offseason'!$D231</f>
        <v>ReedBlankenship</v>
      </c>
      <c r="J231" s="10">
        <v>0.56</v>
      </c>
      <c r="K231" s="10">
        <v>0.33</v>
      </c>
      <c r="L231" s="3">
        <v>5.0</v>
      </c>
      <c r="M231" s="3">
        <v>21.47</v>
      </c>
      <c r="N231" s="3">
        <v>0.0</v>
      </c>
      <c r="O231" s="3" t="str">
        <f t="array" ref="O231">INDEX('2024_Transactions'!$J$2:$J$339,MATCH(1,('2024_Transactions'!$C$2:$C$339='2024_Roster_Offseason'!$I231)*('2024_Roster_Offseason'!$A231='2024_Transactions'!$B$2:$B$339),0))</f>
        <v>#N/A</v>
      </c>
      <c r="P231" s="11">
        <f t="array" ref="P231">INDEX('2024_Draft_team'!$J$2:$J$271,MATCH(1,('2024_Roster_Offseason'!$I231='2024_Draft_team'!$Q$2:$Q$271)*('2024_Roster_Offseason'!$A231='2024_Draft_team'!$B$2:$B$271),0))</f>
        <v>3</v>
      </c>
      <c r="Q231" s="12" t="s">
        <v>34</v>
      </c>
    </row>
    <row r="232" ht="14.25" customHeight="1">
      <c r="A232" s="2" t="s">
        <v>9</v>
      </c>
      <c r="B232" s="2" t="s">
        <v>59</v>
      </c>
      <c r="C232" s="2" t="s">
        <v>453</v>
      </c>
      <c r="D232" s="2" t="s">
        <v>454</v>
      </c>
      <c r="E232" s="2" t="s">
        <v>59</v>
      </c>
      <c r="F232" s="2" t="s">
        <v>32</v>
      </c>
      <c r="G232" s="2" t="s">
        <v>76</v>
      </c>
      <c r="H232" s="2"/>
      <c r="I232" s="2" t="str">
        <f>'2024_Roster_Offseason'!$C232&amp;'2024_Roster_Offseason'!$D232</f>
        <v>MaxxCrosby</v>
      </c>
      <c r="J232" s="7">
        <v>0.66</v>
      </c>
      <c r="K232" s="7">
        <v>0.26</v>
      </c>
      <c r="L232" s="2">
        <v>0.0</v>
      </c>
      <c r="M232" s="2">
        <v>18.33</v>
      </c>
      <c r="N232" s="2">
        <v>0.0</v>
      </c>
      <c r="O232" s="2" t="str">
        <f t="array" ref="O232">INDEX('2024_Transactions'!$J$2:$J$339,MATCH(1,('2024_Transactions'!$C$2:$C$339='2024_Roster_Offseason'!$I232)*('2024_Roster_Offseason'!$A232='2024_Transactions'!$B$2:$B$339),0))</f>
        <v>#N/A</v>
      </c>
      <c r="P232" s="8">
        <f t="array" ref="P232">INDEX('2024_Draft_team'!$J$2:$J$271,MATCH(1,('2024_Roster_Offseason'!$I232='2024_Draft_team'!$Q$2:$Q$271)*('2024_Roster_Offseason'!$A232='2024_Draft_team'!$B$2:$B$271),0))</f>
        <v>5</v>
      </c>
      <c r="Q232" s="9" t="s">
        <v>38</v>
      </c>
    </row>
    <row r="233" ht="14.25" customHeight="1">
      <c r="A233" s="3" t="s">
        <v>9</v>
      </c>
      <c r="B233" s="3" t="s">
        <v>59</v>
      </c>
      <c r="C233" s="3" t="s">
        <v>455</v>
      </c>
      <c r="D233" s="3" t="s">
        <v>456</v>
      </c>
      <c r="E233" s="3" t="s">
        <v>59</v>
      </c>
      <c r="F233" s="3" t="s">
        <v>32</v>
      </c>
      <c r="G233" s="3" t="s">
        <v>37</v>
      </c>
      <c r="H233" s="3"/>
      <c r="I233" s="3" t="str">
        <f>'2024_Roster_Offseason'!$C233&amp;'2024_Roster_Offseason'!$D233</f>
        <v>TalanoaHufanga</v>
      </c>
      <c r="J233" s="10">
        <v>0.11</v>
      </c>
      <c r="K233" s="10">
        <v>0.05</v>
      </c>
      <c r="L233" s="3">
        <v>0.0</v>
      </c>
      <c r="M233" s="3">
        <v>11.71</v>
      </c>
      <c r="N233" s="3">
        <v>0.0</v>
      </c>
      <c r="O233" s="3" t="str">
        <f t="array" ref="O233">INDEX('2024_Transactions'!$J$2:$J$339,MATCH(1,('2024_Transactions'!$C$2:$C$339='2024_Roster_Offseason'!$I233)*('2024_Roster_Offseason'!$A233='2024_Transactions'!$B$2:$B$339),0))</f>
        <v>#N/A</v>
      </c>
      <c r="P233" s="11">
        <f t="array" ref="P233">INDEX('2024_Draft_team'!$J$2:$J$271,MATCH(1,('2024_Roster_Offseason'!$I233='2024_Draft_team'!$Q$2:$Q$271)*('2024_Roster_Offseason'!$A233='2024_Draft_team'!$B$2:$B$271),0))</f>
        <v>19</v>
      </c>
      <c r="Q233" s="12" t="s">
        <v>38</v>
      </c>
    </row>
    <row r="234" ht="14.25" customHeight="1">
      <c r="A234" s="2" t="s">
        <v>9</v>
      </c>
      <c r="B234" s="2" t="s">
        <v>59</v>
      </c>
      <c r="C234" s="2" t="s">
        <v>457</v>
      </c>
      <c r="D234" s="2" t="s">
        <v>458</v>
      </c>
      <c r="E234" s="2" t="s">
        <v>59</v>
      </c>
      <c r="F234" s="2" t="s">
        <v>32</v>
      </c>
      <c r="G234" s="2" t="s">
        <v>63</v>
      </c>
      <c r="H234" s="2"/>
      <c r="I234" s="2" t="str">
        <f>'2024_Roster_Offseason'!$C234&amp;'2024_Roster_Offseason'!$D234</f>
        <v>MattJudon</v>
      </c>
      <c r="J234" s="7">
        <v>0.1</v>
      </c>
      <c r="K234" s="7">
        <v>0.04</v>
      </c>
      <c r="L234" s="2">
        <v>0.0</v>
      </c>
      <c r="M234" s="2">
        <v>11.47</v>
      </c>
      <c r="N234" s="2">
        <v>0.0</v>
      </c>
      <c r="O234" s="2" t="str">
        <f t="array" ref="O234">INDEX('2024_Transactions'!$J$2:$J$339,MATCH(1,('2024_Transactions'!$C$2:$C$339='2024_Roster_Offseason'!$I234)*('2024_Roster_Offseason'!$A234='2024_Transactions'!$B$2:$B$339),0))</f>
        <v>#N/A</v>
      </c>
      <c r="P234" s="8">
        <f t="array" ref="P234">INDEX('2024_Draft_team'!$J$2:$J$271,MATCH(1,('2024_Roster_Offseason'!$I234='2024_Draft_team'!$Q$2:$Q$271)*('2024_Roster_Offseason'!$A234='2024_Draft_team'!$B$2:$B$271),0))</f>
        <v>21</v>
      </c>
      <c r="Q234" s="9" t="s">
        <v>34</v>
      </c>
    </row>
    <row r="235" ht="14.25" customHeight="1">
      <c r="A235" s="3" t="s">
        <v>9</v>
      </c>
      <c r="B235" s="3" t="s">
        <v>59</v>
      </c>
      <c r="C235" s="3" t="s">
        <v>250</v>
      </c>
      <c r="D235" s="3" t="s">
        <v>459</v>
      </c>
      <c r="E235" s="3" t="s">
        <v>59</v>
      </c>
      <c r="F235" s="3" t="s">
        <v>32</v>
      </c>
      <c r="G235" s="3" t="s">
        <v>172</v>
      </c>
      <c r="H235" s="3"/>
      <c r="I235" s="3" t="str">
        <f>'2024_Roster_Offseason'!$C235&amp;'2024_Roster_Offseason'!$D235</f>
        <v>HenryTo'oTo'o</v>
      </c>
      <c r="J235" s="10">
        <v>0.15</v>
      </c>
      <c r="K235" s="10">
        <v>0.08</v>
      </c>
      <c r="L235" s="3">
        <v>0.0</v>
      </c>
      <c r="M235" s="3">
        <v>19.0</v>
      </c>
      <c r="N235" s="3">
        <v>0.0</v>
      </c>
      <c r="O235" s="3" t="str">
        <f t="array" ref="O235">INDEX('2024_Transactions'!$J$2:$J$339,MATCH(1,('2024_Transactions'!$C$2:$C$339='2024_Roster_Offseason'!$I235)*('2024_Roster_Offseason'!$A235='2024_Transactions'!$B$2:$B$339),0))</f>
        <v>Signed</v>
      </c>
      <c r="P235" s="13">
        <f t="array" ref="P235">IFERROR(INDEX('2024_Draft_team'!$J$2:$J$271,MATCH(1,('2024_Roster_Offseason'!$I235='2024_Draft_team'!$Q$2:$Q$271)*('2024_Roster_Offseason'!$A235='2024_Draft_team'!$B$2:$B$271),0)),15)</f>
        <v>15</v>
      </c>
      <c r="Q235" s="12" t="s">
        <v>34</v>
      </c>
    </row>
    <row r="236" ht="14.25" customHeight="1">
      <c r="A236" s="2" t="s">
        <v>9</v>
      </c>
      <c r="B236" s="2" t="s">
        <v>39</v>
      </c>
      <c r="C236" s="2" t="s">
        <v>460</v>
      </c>
      <c r="D236" s="2" t="s">
        <v>461</v>
      </c>
      <c r="E236" s="2" t="s">
        <v>39</v>
      </c>
      <c r="F236" s="2" t="s">
        <v>32</v>
      </c>
      <c r="G236" s="2" t="s">
        <v>98</v>
      </c>
      <c r="H236" s="2"/>
      <c r="I236" s="2" t="str">
        <f>'2024_Roster_Offseason'!$C236&amp;'2024_Roster_Offseason'!$D236</f>
        <v>AustinEkeler</v>
      </c>
      <c r="J236" s="7">
        <v>0.47</v>
      </c>
      <c r="K236" s="7">
        <v>0.03</v>
      </c>
      <c r="L236" s="2">
        <v>0.0</v>
      </c>
      <c r="M236" s="2">
        <v>17.67</v>
      </c>
      <c r="N236" s="2">
        <v>0.0</v>
      </c>
      <c r="O236" s="2" t="str">
        <f t="array" ref="O236">INDEX('2024_Transactions'!$J$2:$J$339,MATCH(1,('2024_Transactions'!$C$2:$C$339='2024_Roster_Offseason'!$I236)*('2024_Roster_Offseason'!$A236='2024_Transactions'!$B$2:$B$339),0))</f>
        <v>Signed</v>
      </c>
      <c r="P236" s="14">
        <f t="array" ref="P236">IFERROR(INDEX('2024_Draft_team'!$J$2:$J$271,MATCH(1,('2024_Roster_Offseason'!$I236='2024_Draft_team'!$Q$2:$Q$271)*('2024_Roster_Offseason'!$A236='2024_Draft_team'!$B$2:$B$271),0)),15)</f>
        <v>15</v>
      </c>
      <c r="Q236" s="9" t="s">
        <v>34</v>
      </c>
    </row>
    <row r="237" ht="14.25" customHeight="1">
      <c r="A237" s="3" t="s">
        <v>9</v>
      </c>
      <c r="B237" s="3" t="s">
        <v>46</v>
      </c>
      <c r="C237" s="3" t="s">
        <v>462</v>
      </c>
      <c r="D237" s="3" t="s">
        <v>463</v>
      </c>
      <c r="E237" s="3" t="s">
        <v>46</v>
      </c>
      <c r="F237" s="3" t="s">
        <v>32</v>
      </c>
      <c r="G237" s="3" t="s">
        <v>172</v>
      </c>
      <c r="H237" s="3"/>
      <c r="I237" s="3" t="str">
        <f>'2024_Roster_Offseason'!$C237&amp;'2024_Roster_Offseason'!$D237</f>
        <v>StefonDiggs</v>
      </c>
      <c r="J237" s="10">
        <v>0.24</v>
      </c>
      <c r="K237" s="10">
        <v>0.02</v>
      </c>
      <c r="L237" s="3">
        <v>0.0</v>
      </c>
      <c r="M237" s="3">
        <v>24.88</v>
      </c>
      <c r="N237" s="3">
        <v>0.0</v>
      </c>
      <c r="O237" s="3" t="str">
        <f t="array" ref="O237">INDEX('2024_Transactions'!$J$2:$J$339,MATCH(1,('2024_Transactions'!$C$2:$C$339='2024_Roster_Offseason'!$I237)*('2024_Roster_Offseason'!$A237='2024_Transactions'!$B$2:$B$339),0))</f>
        <v>#N/A</v>
      </c>
      <c r="P237" s="11">
        <f t="array" ref="P237">INDEX('2024_Draft_team'!$J$2:$J$271,MATCH(1,('2024_Roster_Offseason'!$I237='2024_Draft_team'!$Q$2:$Q$271)*('2024_Roster_Offseason'!$A237='2024_Draft_team'!$B$2:$B$271),0))</f>
        <v>10</v>
      </c>
      <c r="Q237" s="12" t="s">
        <v>34</v>
      </c>
    </row>
    <row r="238" ht="14.25" customHeight="1">
      <c r="A238" s="2" t="s">
        <v>9</v>
      </c>
      <c r="B238" s="2" t="s">
        <v>46</v>
      </c>
      <c r="C238" s="2" t="s">
        <v>464</v>
      </c>
      <c r="D238" s="2" t="s">
        <v>465</v>
      </c>
      <c r="E238" s="2" t="s">
        <v>46</v>
      </c>
      <c r="F238" s="2" t="s">
        <v>32</v>
      </c>
      <c r="G238" s="2" t="s">
        <v>90</v>
      </c>
      <c r="H238" s="2"/>
      <c r="I238" s="2" t="str">
        <f>'2024_Roster_Offseason'!$C238&amp;'2024_Roster_Offseason'!$D238</f>
        <v>RasheeRice</v>
      </c>
      <c r="J238" s="7">
        <v>0.29</v>
      </c>
      <c r="K238" s="7">
        <v>0.02</v>
      </c>
      <c r="L238" s="2">
        <v>0.0</v>
      </c>
      <c r="M238" s="2">
        <v>24.5</v>
      </c>
      <c r="N238" s="2">
        <v>0.0</v>
      </c>
      <c r="O238" s="2" t="str">
        <f t="array" ref="O238">INDEX('2024_Transactions'!$J$2:$J$339,MATCH(1,('2024_Transactions'!$C$2:$C$339='2024_Roster_Offseason'!$I238)*('2024_Roster_Offseason'!$A238='2024_Transactions'!$B$2:$B$339),0))</f>
        <v>#N/A</v>
      </c>
      <c r="P238" s="8">
        <f t="array" ref="P238">INDEX('2024_Draft_team'!$J$2:$J$271,MATCH(1,('2024_Roster_Offseason'!$I238='2024_Draft_team'!$Q$2:$Q$271)*('2024_Roster_Offseason'!$A238='2024_Draft_team'!$B$2:$B$271),0))</f>
        <v>12</v>
      </c>
      <c r="Q238" s="9" t="s">
        <v>38</v>
      </c>
    </row>
    <row r="239" ht="14.25" customHeight="1">
      <c r="A239" s="3" t="s">
        <v>9</v>
      </c>
      <c r="B239" s="3" t="s">
        <v>59</v>
      </c>
      <c r="C239" s="3" t="s">
        <v>466</v>
      </c>
      <c r="D239" s="3" t="s">
        <v>266</v>
      </c>
      <c r="E239" s="3" t="s">
        <v>467</v>
      </c>
      <c r="F239" s="3" t="s">
        <v>59</v>
      </c>
      <c r="G239" s="3" t="s">
        <v>32</v>
      </c>
      <c r="H239" s="3" t="s">
        <v>49</v>
      </c>
      <c r="I239" s="3" t="str">
        <f>'2024_Roster_Offseason'!$C239&amp;'2024_Roster_Offseason'!$D239&amp;'2024_Roster_Offseason'!$E239</f>
        <v>JermaineJohnsonII</v>
      </c>
      <c r="J239" s="10">
        <v>0.07</v>
      </c>
      <c r="K239" s="10">
        <v>0.01</v>
      </c>
      <c r="L239" s="3">
        <v>0.0</v>
      </c>
      <c r="M239" s="3">
        <v>7.0</v>
      </c>
      <c r="N239" s="3">
        <v>0.0</v>
      </c>
      <c r="O239" s="3" t="str">
        <f t="array" ref="O239">INDEX('2024_Transactions'!$J$2:$J$339,MATCH(1,('2024_Transactions'!$C$2:$C$339='2024_Roster_Offseason'!$I239)*('2024_Roster_Offseason'!$A239='2024_Transactions'!$B$2:$B$339),0))</f>
        <v>#N/A</v>
      </c>
      <c r="P239" s="11">
        <f t="array" ref="P239">INDEX('2024_Draft_team'!$J$2:$J$271,MATCH(1,('2024_Roster_Offseason'!$I239='2024_Draft_team'!$Q$2:$Q$271)*('2024_Roster_Offseason'!$A239='2024_Draft_team'!$B$2:$B$271),0))</f>
        <v>14</v>
      </c>
      <c r="Q239" s="12" t="s">
        <v>34</v>
      </c>
    </row>
    <row r="240" ht="14.25" customHeight="1">
      <c r="A240" s="2" t="s">
        <v>10</v>
      </c>
      <c r="B240" s="2" t="s">
        <v>29</v>
      </c>
      <c r="C240" s="2" t="s">
        <v>194</v>
      </c>
      <c r="D240" s="2" t="s">
        <v>468</v>
      </c>
      <c r="E240" s="2" t="s">
        <v>29</v>
      </c>
      <c r="F240" s="2" t="s">
        <v>32</v>
      </c>
      <c r="G240" s="2" t="s">
        <v>54</v>
      </c>
      <c r="H240" s="2"/>
      <c r="I240" s="2" t="str">
        <f>'2024_Roster_Offseason'!$C240&amp;'2024_Roster_Offseason'!$D240</f>
        <v>JustinHerbert</v>
      </c>
      <c r="J240" s="7">
        <v>0.92</v>
      </c>
      <c r="K240" s="7">
        <v>0.38</v>
      </c>
      <c r="L240" s="2">
        <v>0.0</v>
      </c>
      <c r="M240" s="2">
        <v>37.24</v>
      </c>
      <c r="N240" s="2">
        <v>0.0</v>
      </c>
      <c r="O240" s="2" t="str">
        <f t="array" ref="O240">INDEX('2024_Transactions'!$J$2:$J$339,MATCH(1,('2024_Transactions'!$C$2:$C$339='2024_Roster_Offseason'!$I240)*('2024_Roster_Offseason'!$A240='2024_Transactions'!$B$2:$B$339),0))</f>
        <v>#N/A</v>
      </c>
      <c r="P240" s="8">
        <f t="array" ref="P240">INDEX('2024_Draft_team'!$J$2:$J$271,MATCH(1,('2024_Roster_Offseason'!$I240='2024_Draft_team'!$Q$2:$Q$271)*('2024_Roster_Offseason'!$A240='2024_Draft_team'!$B$2:$B$271),0))</f>
        <v>2</v>
      </c>
      <c r="Q240" s="9" t="s">
        <v>34</v>
      </c>
    </row>
    <row r="241" ht="14.25" customHeight="1">
      <c r="A241" s="3" t="s">
        <v>10</v>
      </c>
      <c r="B241" s="3" t="s">
        <v>29</v>
      </c>
      <c r="C241" s="3" t="s">
        <v>469</v>
      </c>
      <c r="D241" s="3" t="s">
        <v>470</v>
      </c>
      <c r="E241" s="3" t="s">
        <v>29</v>
      </c>
      <c r="F241" s="3" t="s">
        <v>32</v>
      </c>
      <c r="G241" s="3" t="s">
        <v>172</v>
      </c>
      <c r="H241" s="3"/>
      <c r="I241" s="3" t="str">
        <f>'2024_Roster_Offseason'!$C241&amp;'2024_Roster_Offseason'!$D241</f>
        <v>C.J.Stroud</v>
      </c>
      <c r="J241" s="10">
        <v>0.88</v>
      </c>
      <c r="K241" s="10">
        <v>0.27</v>
      </c>
      <c r="L241" s="3">
        <v>0.0</v>
      </c>
      <c r="M241" s="3">
        <v>33.47</v>
      </c>
      <c r="N241" s="3">
        <v>0.0</v>
      </c>
      <c r="O241" s="17" t="str">
        <f t="array" ref="O241">INDEX('2024_Transactions'!$J$2:$J$339,MATCH(1,('2024_Transactions'!$C$2:$C$339='2024_Roster_Offseason'!$I241)*('2024_Roster_Offseason'!$A241='2024_Transactions'!$B$2:$B$339),0))</f>
        <v>#N/A</v>
      </c>
      <c r="P241" s="11">
        <f t="array" ref="P241">INDEX('2024_Draft_team'!$J$2:$J$271,MATCH(1,('2024_Roster_Offseason'!$I241='2024_Draft_team'!$Q$2:$Q$271)*('2024_Roster_Offseason'!$A241='2024_Draft_team'!$B$2:$B$271),0))</f>
        <v>10</v>
      </c>
      <c r="Q241" s="12" t="s">
        <v>38</v>
      </c>
    </row>
    <row r="242" ht="14.25" customHeight="1">
      <c r="A242" s="2" t="s">
        <v>10</v>
      </c>
      <c r="B242" s="2" t="s">
        <v>39</v>
      </c>
      <c r="C242" s="2" t="s">
        <v>450</v>
      </c>
      <c r="D242" s="2" t="s">
        <v>471</v>
      </c>
      <c r="E242" s="2" t="s">
        <v>39</v>
      </c>
      <c r="F242" s="2" t="s">
        <v>32</v>
      </c>
      <c r="G242" s="2" t="s">
        <v>42</v>
      </c>
      <c r="H242" s="2"/>
      <c r="I242" s="2" t="str">
        <f>'2024_Roster_Offseason'!$C242&amp;'2024_Roster_Offseason'!$D242</f>
        <v>JeromeFord</v>
      </c>
      <c r="J242" s="7">
        <v>0.89</v>
      </c>
      <c r="K242" s="7">
        <v>0.47</v>
      </c>
      <c r="L242" s="2">
        <v>0.0</v>
      </c>
      <c r="M242" s="2">
        <v>13.64</v>
      </c>
      <c r="N242" s="2">
        <v>0.0</v>
      </c>
      <c r="O242" s="18" t="str">
        <f t="array" ref="O242">INDEX('2024_Transactions'!$J$2:$J$339,MATCH(1,('2024_Transactions'!$C$2:$C$339='2024_Roster_Offseason'!$I242)*('2024_Roster_Offseason'!$A242='2024_Transactions'!$B$2:$B$339),0))</f>
        <v>Signed</v>
      </c>
      <c r="P242" s="14">
        <f t="array" ref="P242">IFERROR(INDEX('2024_Draft_team'!$J$2:$J$271,MATCH(1,('2024_Roster_Offseason'!$I242='2024_Draft_team'!$Q$2:$Q$271)*('2024_Roster_Offseason'!$A242='2024_Draft_team'!$B$2:$B$271),0)),15)</f>
        <v>15</v>
      </c>
      <c r="Q242" s="9" t="s">
        <v>34</v>
      </c>
    </row>
    <row r="243" ht="14.25" customHeight="1">
      <c r="A243" s="3" t="s">
        <v>10</v>
      </c>
      <c r="B243" s="3" t="s">
        <v>39</v>
      </c>
      <c r="C243" s="3" t="s">
        <v>472</v>
      </c>
      <c r="D243" s="3" t="s">
        <v>473</v>
      </c>
      <c r="E243" s="3" t="s">
        <v>39</v>
      </c>
      <c r="F243" s="3" t="s">
        <v>32</v>
      </c>
      <c r="G243" s="3" t="s">
        <v>238</v>
      </c>
      <c r="H243" s="3"/>
      <c r="I243" s="3" t="str">
        <f>'2024_Roster_Offseason'!$C243&amp;'2024_Roster_Offseason'!$D243</f>
        <v>BuckyIrving</v>
      </c>
      <c r="J243" s="10">
        <v>0.97</v>
      </c>
      <c r="K243" s="10">
        <v>0.72</v>
      </c>
      <c r="L243" s="3">
        <v>0.0</v>
      </c>
      <c r="M243" s="3">
        <v>23.71</v>
      </c>
      <c r="N243" s="3">
        <v>0.0</v>
      </c>
      <c r="O243" s="17" t="str">
        <f t="array" ref="O243">INDEX('2024_Transactions'!$J$2:$J$339,MATCH(1,('2024_Transactions'!$C$2:$C$339='2024_Roster_Offseason'!$I243)*('2024_Roster_Offseason'!$A243='2024_Transactions'!$B$2:$B$339),0))</f>
        <v>#N/A</v>
      </c>
      <c r="P243" s="11">
        <f t="array" ref="P243">INDEX('2024_Draft_team'!$J$2:$J$271,MATCH(1,('2024_Roster_Offseason'!$I243='2024_Draft_team'!$Q$2:$Q$271)*('2024_Roster_Offseason'!$A243='2024_Draft_team'!$B$2:$B$271),0))</f>
        <v>21</v>
      </c>
      <c r="Q243" s="12" t="s">
        <v>38</v>
      </c>
    </row>
    <row r="244" ht="14.25" customHeight="1">
      <c r="A244" s="2" t="s">
        <v>10</v>
      </c>
      <c r="B244" s="2" t="s">
        <v>46</v>
      </c>
      <c r="C244" s="2" t="s">
        <v>474</v>
      </c>
      <c r="D244" s="2" t="s">
        <v>475</v>
      </c>
      <c r="E244" s="2" t="s">
        <v>46</v>
      </c>
      <c r="F244" s="2" t="s">
        <v>32</v>
      </c>
      <c r="G244" s="2" t="s">
        <v>172</v>
      </c>
      <c r="H244" s="2"/>
      <c r="I244" s="2" t="str">
        <f>'2024_Roster_Offseason'!$C244&amp;'2024_Roster_Offseason'!$D244</f>
        <v>NicoCollins</v>
      </c>
      <c r="J244" s="7">
        <v>1.0</v>
      </c>
      <c r="K244" s="7">
        <v>0.8</v>
      </c>
      <c r="L244" s="2">
        <v>0.0</v>
      </c>
      <c r="M244" s="2">
        <v>31.83</v>
      </c>
      <c r="N244" s="2">
        <v>0.0</v>
      </c>
      <c r="O244" s="18" t="str">
        <f t="array" ref="O244">INDEX('2024_Transactions'!$J$2:$J$339,MATCH(1,('2024_Transactions'!$C$2:$C$339='2024_Roster_Offseason'!$I244)*('2024_Roster_Offseason'!$A244='2024_Transactions'!$B$2:$B$339),0))</f>
        <v>#N/A</v>
      </c>
      <c r="P244" s="8">
        <f t="array" ref="P244">INDEX('2024_Draft_team'!$J$2:$J$271,MATCH(1,('2024_Roster_Offseason'!$I244='2024_Draft_team'!$Q$2:$Q$271)*('2024_Roster_Offseason'!$A244='2024_Draft_team'!$B$2:$B$271),0))</f>
        <v>23</v>
      </c>
      <c r="Q244" s="9" t="s">
        <v>38</v>
      </c>
    </row>
    <row r="245" ht="14.25" customHeight="1">
      <c r="A245" s="3" t="s">
        <v>10</v>
      </c>
      <c r="B245" s="3" t="s">
        <v>46</v>
      </c>
      <c r="C245" s="3" t="s">
        <v>476</v>
      </c>
      <c r="D245" s="3" t="s">
        <v>477</v>
      </c>
      <c r="E245" s="3" t="s">
        <v>46</v>
      </c>
      <c r="F245" s="3" t="s">
        <v>32</v>
      </c>
      <c r="G245" s="3" t="s">
        <v>119</v>
      </c>
      <c r="H245" s="3"/>
      <c r="I245" s="3" t="str">
        <f>'2024_Roster_Offseason'!$C245&amp;'2024_Roster_Offseason'!$D245</f>
        <v>TeeHiggins</v>
      </c>
      <c r="J245" s="10">
        <v>1.0</v>
      </c>
      <c r="K245" s="10">
        <v>0.9</v>
      </c>
      <c r="L245" s="3">
        <v>0.0</v>
      </c>
      <c r="M245" s="3">
        <v>28.92</v>
      </c>
      <c r="N245" s="3">
        <v>0.0</v>
      </c>
      <c r="O245" s="17" t="str">
        <f t="array" ref="O245">INDEX('2024_Transactions'!$J$2:$J$339,MATCH(1,('2024_Transactions'!$C$2:$C$339='2024_Roster_Offseason'!$I245)*('2024_Roster_Offseason'!$A245='2024_Transactions'!$B$2:$B$339),0))</f>
        <v>#N/A</v>
      </c>
      <c r="P245" s="11">
        <f t="array" ref="P245">INDEX('2024_Draft_team'!$J$2:$J$271,MATCH(1,('2024_Roster_Offseason'!$I245='2024_Draft_team'!$Q$2:$Q$271)*('2024_Roster_Offseason'!$A245='2024_Draft_team'!$B$2:$B$271),0))</f>
        <v>6</v>
      </c>
      <c r="Q245" s="12" t="s">
        <v>38</v>
      </c>
    </row>
    <row r="246" ht="14.25" customHeight="1">
      <c r="A246" s="2" t="s">
        <v>10</v>
      </c>
      <c r="B246" s="2" t="s">
        <v>46</v>
      </c>
      <c r="C246" s="2" t="s">
        <v>478</v>
      </c>
      <c r="D246" s="2" t="s">
        <v>479</v>
      </c>
      <c r="E246" s="2" t="s">
        <v>134</v>
      </c>
      <c r="F246" s="2" t="s">
        <v>46</v>
      </c>
      <c r="G246" s="2" t="s">
        <v>32</v>
      </c>
      <c r="H246" s="2" t="s">
        <v>141</v>
      </c>
      <c r="I246" s="2" t="str">
        <f>'2024_Roster_Offseason'!$C246&amp;'2024_Roster_Offseason'!$D246&amp;'2024_Roster_Offseason'!$E246</f>
        <v>Amon-RaSt.Brown</v>
      </c>
      <c r="J246" s="7">
        <v>1.0</v>
      </c>
      <c r="K246" s="7">
        <v>0.99</v>
      </c>
      <c r="L246" s="2">
        <v>0.0</v>
      </c>
      <c r="M246" s="2">
        <v>31.06</v>
      </c>
      <c r="N246" s="2">
        <v>0.0</v>
      </c>
      <c r="O246" s="18" t="str">
        <f t="array" ref="O246">INDEX('2024_Transactions'!$J$2:$J$339,MATCH(1,('2024_Transactions'!$C$2:$C$339='2024_Roster_Offseason'!$I246)*('2024_Roster_Offseason'!$A246='2024_Transactions'!$B$2:$B$339),0))</f>
        <v>#N/A</v>
      </c>
      <c r="P246" s="8">
        <f t="array" ref="P246">INDEX('2024_Draft_team'!$J$2:$J$271,MATCH(1,('2024_Roster_Offseason'!$I246='2024_Draft_team'!$Q$2:$Q$271)*('2024_Roster_Offseason'!$A246='2024_Draft_team'!$B$2:$B$271),0))</f>
        <v>3</v>
      </c>
      <c r="Q246" s="9" t="s">
        <v>34</v>
      </c>
    </row>
    <row r="247" ht="14.25" customHeight="1">
      <c r="A247" s="3" t="s">
        <v>10</v>
      </c>
      <c r="B247" s="3" t="s">
        <v>55</v>
      </c>
      <c r="C247" s="3" t="s">
        <v>194</v>
      </c>
      <c r="D247" s="3" t="s">
        <v>480</v>
      </c>
      <c r="E247" s="3" t="s">
        <v>55</v>
      </c>
      <c r="F247" s="3" t="s">
        <v>32</v>
      </c>
      <c r="G247" s="3" t="s">
        <v>179</v>
      </c>
      <c r="H247" s="3"/>
      <c r="I247" s="3" t="str">
        <f>'2024_Roster_Offseason'!$C247&amp;'2024_Roster_Offseason'!$D247</f>
        <v>JustinTucker</v>
      </c>
      <c r="J247" s="10">
        <v>0.79</v>
      </c>
      <c r="K247" s="10">
        <v>0.58</v>
      </c>
      <c r="L247" s="3">
        <v>0.0</v>
      </c>
      <c r="M247" s="3">
        <v>17.59</v>
      </c>
      <c r="N247" s="3">
        <v>0.0</v>
      </c>
      <c r="O247" s="17" t="str">
        <f t="array" ref="O247">INDEX('2024_Transactions'!$J$2:$J$339,MATCH(1,('2024_Transactions'!$C$2:$C$339='2024_Roster_Offseason'!$I247)*('2024_Roster_Offseason'!$A247='2024_Transactions'!$B$2:$B$339),0))</f>
        <v>#N/A</v>
      </c>
      <c r="P247" s="11">
        <f t="array" ref="P247">INDEX('2024_Draft_team'!$J$2:$J$271,MATCH(1,('2024_Roster_Offseason'!$I247='2024_Draft_team'!$Q$2:$Q$271)*('2024_Roster_Offseason'!$A247='2024_Draft_team'!$B$2:$B$271),0))</f>
        <v>14</v>
      </c>
      <c r="Q247" s="12" t="s">
        <v>34</v>
      </c>
    </row>
    <row r="248" ht="14.25" customHeight="1">
      <c r="A248" s="2" t="s">
        <v>10</v>
      </c>
      <c r="B248" s="2" t="s">
        <v>59</v>
      </c>
      <c r="C248" s="2" t="s">
        <v>481</v>
      </c>
      <c r="D248" s="2" t="s">
        <v>317</v>
      </c>
      <c r="E248" s="2" t="s">
        <v>59</v>
      </c>
      <c r="F248" s="2" t="s">
        <v>32</v>
      </c>
      <c r="G248" s="2" t="s">
        <v>58</v>
      </c>
      <c r="H248" s="2"/>
      <c r="I248" s="2" t="str">
        <f>'2024_Roster_Offseason'!$C248&amp;'2024_Roster_Offseason'!$D248</f>
        <v>JordynBrooks</v>
      </c>
      <c r="J248" s="7">
        <v>0.61</v>
      </c>
      <c r="K248" s="7">
        <v>0.52</v>
      </c>
      <c r="L248" s="2">
        <v>0.0</v>
      </c>
      <c r="M248" s="2">
        <v>22.53</v>
      </c>
      <c r="N248" s="2">
        <v>0.0</v>
      </c>
      <c r="O248" s="18" t="str">
        <f t="array" ref="O248">INDEX('2024_Transactions'!$J$2:$J$339,MATCH(1,('2024_Transactions'!$C$2:$C$339='2024_Roster_Offseason'!$I248)*('2024_Roster_Offseason'!$A248='2024_Transactions'!$B$2:$B$339),0))</f>
        <v>#N/A</v>
      </c>
      <c r="P248" s="8">
        <f t="array" ref="P248">INDEX('2024_Draft_team'!$J$2:$J$271,MATCH(1,('2024_Roster_Offseason'!$I248='2024_Draft_team'!$Q$2:$Q$271)*('2024_Roster_Offseason'!$A248='2024_Draft_team'!$B$2:$B$271),0))</f>
        <v>1</v>
      </c>
      <c r="Q248" s="9" t="s">
        <v>34</v>
      </c>
    </row>
    <row r="249" ht="14.25" customHeight="1">
      <c r="A249" s="3" t="s">
        <v>10</v>
      </c>
      <c r="B249" s="3" t="s">
        <v>59</v>
      </c>
      <c r="C249" s="3" t="s">
        <v>482</v>
      </c>
      <c r="D249" s="3" t="s">
        <v>483</v>
      </c>
      <c r="E249" s="3" t="s">
        <v>59</v>
      </c>
      <c r="F249" s="3" t="s">
        <v>32</v>
      </c>
      <c r="G249" s="3" t="s">
        <v>119</v>
      </c>
      <c r="H249" s="3"/>
      <c r="I249" s="3" t="str">
        <f>'2024_Roster_Offseason'!$C249&amp;'2024_Roster_Offseason'!$D249</f>
        <v>AkeemDavis-Gaither</v>
      </c>
      <c r="J249" s="10">
        <v>0.11</v>
      </c>
      <c r="K249" s="10">
        <v>0.07</v>
      </c>
      <c r="L249" s="3">
        <v>0.0</v>
      </c>
      <c r="M249" s="3">
        <v>11.65</v>
      </c>
      <c r="N249" s="3">
        <v>0.0</v>
      </c>
      <c r="O249" s="17" t="str">
        <f t="array" ref="O249">INDEX('2024_Transactions'!$J$2:$J$339,MATCH(1,('2024_Transactions'!$C$2:$C$339='2024_Roster_Offseason'!$I249)*('2024_Roster_Offseason'!$A249='2024_Transactions'!$B$2:$B$339),0))</f>
        <v>Signed</v>
      </c>
      <c r="P249" s="13">
        <f t="array" ref="P249">IFERROR(INDEX('2024_Draft_team'!$J$2:$J$271,MATCH(1,('2024_Roster_Offseason'!$I249='2024_Draft_team'!$Q$2:$Q$271)*('2024_Roster_Offseason'!$A249='2024_Draft_team'!$B$2:$B$271),0)),15)</f>
        <v>15</v>
      </c>
      <c r="Q249" s="12" t="s">
        <v>38</v>
      </c>
    </row>
    <row r="250" ht="14.25" customHeight="1">
      <c r="A250" s="2" t="s">
        <v>10</v>
      </c>
      <c r="B250" s="2" t="s">
        <v>59</v>
      </c>
      <c r="C250" s="2" t="s">
        <v>484</v>
      </c>
      <c r="D250" s="2" t="s">
        <v>485</v>
      </c>
      <c r="E250" s="2" t="s">
        <v>59</v>
      </c>
      <c r="F250" s="2" t="s">
        <v>32</v>
      </c>
      <c r="G250" s="2" t="s">
        <v>87</v>
      </c>
      <c r="H250" s="2"/>
      <c r="I250" s="2" t="str">
        <f>'2024_Roster_Offseason'!$C250&amp;'2024_Roster_Offseason'!$D250</f>
        <v>EricKendricks</v>
      </c>
      <c r="J250" s="7">
        <v>0.83</v>
      </c>
      <c r="K250" s="7">
        <v>0.64</v>
      </c>
      <c r="L250" s="2">
        <v>0.0</v>
      </c>
      <c r="M250" s="2">
        <v>23.93</v>
      </c>
      <c r="N250" s="2">
        <v>0.0</v>
      </c>
      <c r="O250" s="18" t="str">
        <f t="array" ref="O250">INDEX('2024_Transactions'!$J$2:$J$339,MATCH(1,('2024_Transactions'!$C$2:$C$339='2024_Roster_Offseason'!$I250)*('2024_Roster_Offseason'!$A250='2024_Transactions'!$B$2:$B$339),0))</f>
        <v>#N/A</v>
      </c>
      <c r="P250" s="8">
        <f t="array" ref="P250">INDEX('2024_Draft_team'!$J$2:$J$271,MATCH(1,('2024_Roster_Offseason'!$I250='2024_Draft_team'!$Q$2:$Q$271)*('2024_Roster_Offseason'!$A250='2024_Draft_team'!$B$2:$B$271),0))</f>
        <v>5</v>
      </c>
      <c r="Q250" s="9" t="s">
        <v>34</v>
      </c>
    </row>
    <row r="251" ht="14.25" customHeight="1">
      <c r="A251" s="3" t="s">
        <v>10</v>
      </c>
      <c r="B251" s="3" t="s">
        <v>59</v>
      </c>
      <c r="C251" s="3" t="s">
        <v>486</v>
      </c>
      <c r="D251" s="3" t="s">
        <v>487</v>
      </c>
      <c r="E251" s="3" t="s">
        <v>59</v>
      </c>
      <c r="F251" s="3" t="s">
        <v>32</v>
      </c>
      <c r="G251" s="3" t="s">
        <v>98</v>
      </c>
      <c r="H251" s="3"/>
      <c r="I251" s="3" t="str">
        <f>'2024_Roster_Offseason'!$C251&amp;'2024_Roster_Offseason'!$D251</f>
        <v>FrankieLuvu</v>
      </c>
      <c r="J251" s="10">
        <v>0.65</v>
      </c>
      <c r="K251" s="10">
        <v>0.43</v>
      </c>
      <c r="L251" s="3">
        <v>0.0</v>
      </c>
      <c r="M251" s="3">
        <v>23.41</v>
      </c>
      <c r="N251" s="3">
        <v>0.0</v>
      </c>
      <c r="O251" s="17" t="str">
        <f t="array" ref="O251">INDEX('2024_Transactions'!$J$2:$J$339,MATCH(1,('2024_Transactions'!$C$2:$C$339='2024_Roster_Offseason'!$I251)*('2024_Roster_Offseason'!$A251='2024_Transactions'!$B$2:$B$339),0))</f>
        <v>#N/A</v>
      </c>
      <c r="P251" s="11">
        <f t="array" ref="P251">INDEX('2024_Draft_team'!$J$2:$J$271,MATCH(1,('2024_Roster_Offseason'!$I251='2024_Draft_team'!$Q$2:$Q$271)*('2024_Roster_Offseason'!$A251='2024_Draft_team'!$B$2:$B$271),0))</f>
        <v>4</v>
      </c>
      <c r="Q251" s="12" t="s">
        <v>38</v>
      </c>
    </row>
    <row r="252" ht="14.25" customHeight="1">
      <c r="A252" s="2" t="s">
        <v>10</v>
      </c>
      <c r="B252" s="2" t="s">
        <v>59</v>
      </c>
      <c r="C252" s="2" t="s">
        <v>488</v>
      </c>
      <c r="D252" s="2" t="s">
        <v>489</v>
      </c>
      <c r="E252" s="2" t="s">
        <v>59</v>
      </c>
      <c r="F252" s="2" t="s">
        <v>32</v>
      </c>
      <c r="G252" s="2" t="s">
        <v>119</v>
      </c>
      <c r="H252" s="2"/>
      <c r="I252" s="2" t="str">
        <f>'2024_Roster_Offseason'!$C252&amp;'2024_Roster_Offseason'!$D252</f>
        <v>GermainePratt</v>
      </c>
      <c r="J252" s="7">
        <v>0.89</v>
      </c>
      <c r="K252" s="7">
        <v>0.8</v>
      </c>
      <c r="L252" s="2">
        <v>0.0</v>
      </c>
      <c r="M252" s="2">
        <v>21.24</v>
      </c>
      <c r="N252" s="2">
        <v>0.0</v>
      </c>
      <c r="O252" s="18" t="str">
        <f t="array" ref="O252">INDEX('2024_Transactions'!$J$2:$J$339,MATCH(1,('2024_Transactions'!$C$2:$C$339='2024_Roster_Offseason'!$I252)*('2024_Roster_Offseason'!$A252='2024_Transactions'!$B$2:$B$339),0))</f>
        <v>#N/A</v>
      </c>
      <c r="P252" s="8">
        <f t="array" ref="P252">INDEX('2024_Draft_team'!$J$2:$J$271,MATCH(1,('2024_Roster_Offseason'!$I252='2024_Draft_team'!$Q$2:$Q$271)*('2024_Roster_Offseason'!$A252='2024_Draft_team'!$B$2:$B$271),0))</f>
        <v>22</v>
      </c>
      <c r="Q252" s="9" t="s">
        <v>38</v>
      </c>
    </row>
    <row r="253" ht="14.25" customHeight="1">
      <c r="A253" s="3" t="s">
        <v>10</v>
      </c>
      <c r="B253" s="3" t="s">
        <v>59</v>
      </c>
      <c r="C253" s="3" t="s">
        <v>490</v>
      </c>
      <c r="D253" s="3" t="s">
        <v>491</v>
      </c>
      <c r="E253" s="3" t="s">
        <v>59</v>
      </c>
      <c r="F253" s="3" t="s">
        <v>32</v>
      </c>
      <c r="G253" s="3" t="s">
        <v>37</v>
      </c>
      <c r="H253" s="3"/>
      <c r="I253" s="3" t="str">
        <f>'2024_Roster_Offseason'!$C253&amp;'2024_Roster_Offseason'!$D253</f>
        <v>FredWarner</v>
      </c>
      <c r="J253" s="10">
        <v>0.98</v>
      </c>
      <c r="K253" s="10">
        <v>0.85</v>
      </c>
      <c r="L253" s="3">
        <v>0.0</v>
      </c>
      <c r="M253" s="3">
        <v>21.24</v>
      </c>
      <c r="N253" s="3">
        <v>0.0</v>
      </c>
      <c r="O253" s="17" t="str">
        <f t="array" ref="O253">INDEX('2024_Transactions'!$J$2:$J$339,MATCH(1,('2024_Transactions'!$C$2:$C$339='2024_Roster_Offseason'!$I253)*('2024_Roster_Offseason'!$A253='2024_Transactions'!$B$2:$B$339),0))</f>
        <v>#N/A</v>
      </c>
      <c r="P253" s="11" t="str">
        <f t="array" ref="P253">INDEX('2024_Draft_team'!$J$2:$J$271,MATCH(1,('2024_Roster_Offseason'!$I253='2024_Draft_team'!$Q$2:$Q$271)*('2024_Roster_Offseason'!$A253='2024_Draft_team'!$B$2:$B$271),0))</f>
        <v>N/A</v>
      </c>
      <c r="Q253" s="12" t="s">
        <v>34</v>
      </c>
    </row>
    <row r="254" ht="14.25" customHeight="1">
      <c r="A254" s="2" t="s">
        <v>10</v>
      </c>
      <c r="B254" s="2" t="s">
        <v>59</v>
      </c>
      <c r="C254" s="2" t="s">
        <v>492</v>
      </c>
      <c r="D254" s="2" t="s">
        <v>215</v>
      </c>
      <c r="E254" s="2" t="s">
        <v>59</v>
      </c>
      <c r="F254" s="2" t="s">
        <v>32</v>
      </c>
      <c r="G254" s="2" t="s">
        <v>87</v>
      </c>
      <c r="H254" s="2"/>
      <c r="I254" s="2" t="str">
        <f>'2024_Roster_Offseason'!$C254&amp;'2024_Roster_Offseason'!$D254</f>
        <v>DonovanWilson</v>
      </c>
      <c r="J254" s="7">
        <v>0.12</v>
      </c>
      <c r="K254" s="7">
        <v>0.08</v>
      </c>
      <c r="L254" s="2">
        <v>0.0</v>
      </c>
      <c r="M254" s="2">
        <v>15.06</v>
      </c>
      <c r="N254" s="2">
        <v>0.0</v>
      </c>
      <c r="O254" s="18" t="str">
        <f t="array" ref="O254">INDEX('2024_Transactions'!$J$2:$J$339,MATCH(1,('2024_Transactions'!$C$2:$C$339='2024_Roster_Offseason'!$I254)*('2024_Roster_Offseason'!$A254='2024_Transactions'!$B$2:$B$339),0))</f>
        <v>Signed</v>
      </c>
      <c r="P254" s="14">
        <f t="array" ref="P254">IFERROR(INDEX('2024_Draft_team'!$J$2:$J$271,MATCH(1,('2024_Roster_Offseason'!$I254='2024_Draft_team'!$Q$2:$Q$271)*('2024_Roster_Offseason'!$A254='2024_Draft_team'!$B$2:$B$271),0)),15)</f>
        <v>15</v>
      </c>
      <c r="Q254" s="9" t="s">
        <v>34</v>
      </c>
    </row>
    <row r="255" ht="14.25" customHeight="1">
      <c r="A255" s="3" t="s">
        <v>10</v>
      </c>
      <c r="B255" s="3" t="s">
        <v>29</v>
      </c>
      <c r="C255" s="3" t="s">
        <v>370</v>
      </c>
      <c r="D255" s="3" t="s">
        <v>493</v>
      </c>
      <c r="E255" s="3" t="s">
        <v>29</v>
      </c>
      <c r="F255" s="3" t="s">
        <v>32</v>
      </c>
      <c r="G255" s="3" t="s">
        <v>105</v>
      </c>
      <c r="H255" s="3"/>
      <c r="I255" s="3" t="str">
        <f>'2024_Roster_Offseason'!$C255&amp;'2024_Roster_Offseason'!$D255</f>
        <v>AnthonyRichardson</v>
      </c>
      <c r="J255" s="10">
        <v>0.68</v>
      </c>
      <c r="K255" s="10">
        <v>0.12</v>
      </c>
      <c r="L255" s="3">
        <v>0.0</v>
      </c>
      <c r="M255" s="3">
        <v>30.45</v>
      </c>
      <c r="N255" s="3">
        <v>0.0</v>
      </c>
      <c r="O255" s="17" t="str">
        <f t="array" ref="O255">INDEX('2024_Transactions'!$J$2:$J$339,MATCH(1,('2024_Transactions'!$C$2:$C$339='2024_Roster_Offseason'!$I255)*('2024_Roster_Offseason'!$A255='2024_Transactions'!$B$2:$B$339),0))</f>
        <v>Signed</v>
      </c>
      <c r="P255" s="13">
        <f t="array" ref="P255">IFERROR(INDEX('2024_Draft_team'!$J$2:$J$271,MATCH(1,('2024_Roster_Offseason'!$I255='2024_Draft_team'!$Q$2:$Q$271)*('2024_Roster_Offseason'!$A255='2024_Draft_team'!$B$2:$B$271),0)),15)</f>
        <v>15</v>
      </c>
      <c r="Q255" s="12" t="s">
        <v>34</v>
      </c>
    </row>
    <row r="256" ht="14.25" customHeight="1">
      <c r="A256" s="2" t="s">
        <v>10</v>
      </c>
      <c r="B256" s="2" t="s">
        <v>39</v>
      </c>
      <c r="C256" s="2" t="s">
        <v>494</v>
      </c>
      <c r="D256" s="2" t="s">
        <v>212</v>
      </c>
      <c r="E256" s="2" t="s">
        <v>39</v>
      </c>
      <c r="F256" s="2" t="s">
        <v>32</v>
      </c>
      <c r="G256" s="2" t="s">
        <v>238</v>
      </c>
      <c r="H256" s="2"/>
      <c r="I256" s="2" t="str">
        <f>'2024_Roster_Offseason'!$C256&amp;'2024_Roster_Offseason'!$D256</f>
        <v>RachaadWhite</v>
      </c>
      <c r="J256" s="7">
        <v>0.98</v>
      </c>
      <c r="K256" s="7">
        <v>0.66</v>
      </c>
      <c r="L256" s="2">
        <v>0.0</v>
      </c>
      <c r="M256" s="2">
        <v>17.94</v>
      </c>
      <c r="N256" s="2">
        <v>0.0</v>
      </c>
      <c r="O256" s="18" t="str">
        <f t="array" ref="O256">INDEX('2024_Transactions'!$J$2:$J$339,MATCH(1,('2024_Transactions'!$C$2:$C$339='2024_Roster_Offseason'!$I256)*('2024_Roster_Offseason'!$A256='2024_Transactions'!$B$2:$B$339),0))</f>
        <v>#N/A</v>
      </c>
      <c r="P256" s="8">
        <f t="array" ref="P256">INDEX('2024_Draft_team'!$J$2:$J$271,MATCH(1,('2024_Roster_Offseason'!$I256='2024_Draft_team'!$Q$2:$Q$271)*('2024_Roster_Offseason'!$A256='2024_Draft_team'!$B$2:$B$271),0))</f>
        <v>11</v>
      </c>
      <c r="Q256" s="9" t="s">
        <v>34</v>
      </c>
    </row>
    <row r="257" ht="14.25" customHeight="1">
      <c r="A257" s="3" t="s">
        <v>10</v>
      </c>
      <c r="B257" s="3" t="s">
        <v>46</v>
      </c>
      <c r="C257" s="3" t="s">
        <v>495</v>
      </c>
      <c r="D257" s="3" t="s">
        <v>496</v>
      </c>
      <c r="E257" s="3" t="s">
        <v>46</v>
      </c>
      <c r="F257" s="3" t="s">
        <v>32</v>
      </c>
      <c r="G257" s="3" t="s">
        <v>71</v>
      </c>
      <c r="H257" s="3"/>
      <c r="I257" s="3" t="str">
        <f>'2024_Roster_Offseason'!$C257&amp;'2024_Roster_Offseason'!$D257</f>
        <v>CalvinRidley</v>
      </c>
      <c r="J257" s="10">
        <v>0.95</v>
      </c>
      <c r="K257" s="10">
        <v>0.59</v>
      </c>
      <c r="L257" s="3">
        <v>0.0</v>
      </c>
      <c r="M257" s="3">
        <v>18.35</v>
      </c>
      <c r="N257" s="3">
        <v>0.0</v>
      </c>
      <c r="O257" s="17" t="str">
        <f t="array" ref="O257">INDEX('2024_Transactions'!$J$2:$J$339,MATCH(1,('2024_Transactions'!$C$2:$C$339='2024_Roster_Offseason'!$I257)*('2024_Roster_Offseason'!$A257='2024_Transactions'!$B$2:$B$339),0))</f>
        <v>Signed</v>
      </c>
      <c r="P257" s="13">
        <f t="array" ref="P257">IFERROR(INDEX('2024_Draft_team'!$J$2:$J$271,MATCH(1,('2024_Roster_Offseason'!$I257='2024_Draft_team'!$Q$2:$Q$271)*('2024_Roster_Offseason'!$A257='2024_Draft_team'!$B$2:$B$271),0)),15)</f>
        <v>15</v>
      </c>
      <c r="Q257" s="12" t="s">
        <v>34</v>
      </c>
    </row>
    <row r="258" ht="14.25" customHeight="1">
      <c r="A258" s="2" t="s">
        <v>10</v>
      </c>
      <c r="B258" s="2" t="s">
        <v>46</v>
      </c>
      <c r="C258" s="2" t="s">
        <v>497</v>
      </c>
      <c r="D258" s="2" t="s">
        <v>297</v>
      </c>
      <c r="E258" s="2" t="s">
        <v>46</v>
      </c>
      <c r="F258" s="2" t="s">
        <v>32</v>
      </c>
      <c r="G258" s="2" t="s">
        <v>141</v>
      </c>
      <c r="H258" s="2"/>
      <c r="I258" s="2" t="str">
        <f>'2024_Roster_Offseason'!$C258&amp;'2024_Roster_Offseason'!$D258</f>
        <v>JamesonWilliams</v>
      </c>
      <c r="J258" s="7">
        <v>0.95</v>
      </c>
      <c r="K258" s="7">
        <v>0.56</v>
      </c>
      <c r="L258" s="2">
        <v>0.0</v>
      </c>
      <c r="M258" s="2">
        <v>24.13</v>
      </c>
      <c r="N258" s="2">
        <v>0.0</v>
      </c>
      <c r="O258" s="18" t="str">
        <f t="array" ref="O258">INDEX('2024_Transactions'!$J$2:$J$339,MATCH(1,('2024_Transactions'!$C$2:$C$339='2024_Roster_Offseason'!$I258)*('2024_Roster_Offseason'!$A258='2024_Transactions'!$B$2:$B$339),0))</f>
        <v>#N/A</v>
      </c>
      <c r="P258" s="8">
        <f t="array" ref="P258">INDEX('2024_Draft_team'!$J$2:$J$271,MATCH(1,('2024_Roster_Offseason'!$I258='2024_Draft_team'!$Q$2:$Q$271)*('2024_Roster_Offseason'!$A258='2024_Draft_team'!$B$2:$B$271),0))</f>
        <v>25</v>
      </c>
      <c r="Q258" s="9" t="s">
        <v>38</v>
      </c>
    </row>
    <row r="259" ht="14.25" customHeight="1">
      <c r="A259" s="3" t="s">
        <v>10</v>
      </c>
      <c r="B259" s="3" t="s">
        <v>46</v>
      </c>
      <c r="C259" s="3" t="s">
        <v>72</v>
      </c>
      <c r="D259" s="3" t="s">
        <v>498</v>
      </c>
      <c r="E259" s="3" t="s">
        <v>46</v>
      </c>
      <c r="F259" s="3" t="s">
        <v>32</v>
      </c>
      <c r="G259" s="3" t="s">
        <v>90</v>
      </c>
      <c r="H259" s="3"/>
      <c r="I259" s="3" t="str">
        <f>'2024_Roster_Offseason'!$C259&amp;'2024_Roster_Offseason'!$D259</f>
        <v>XavierWorthy</v>
      </c>
      <c r="J259" s="10">
        <v>0.91</v>
      </c>
      <c r="K259" s="10">
        <v>0.36</v>
      </c>
      <c r="L259" s="3">
        <v>52.0</v>
      </c>
      <c r="M259" s="3">
        <v>24.59</v>
      </c>
      <c r="N259" s="3">
        <v>0.0</v>
      </c>
      <c r="O259" s="17" t="str">
        <f t="array" ref="O259">INDEX('2024_Transactions'!$J$2:$J$339,MATCH(1,('2024_Transactions'!$C$2:$C$339='2024_Roster_Offseason'!$I259)*('2024_Roster_Offseason'!$A259='2024_Transactions'!$B$2:$B$339),0))</f>
        <v>#N/A</v>
      </c>
      <c r="P259" s="11">
        <f t="array" ref="P259">INDEX('2024_Draft_team'!$J$2:$J$271,MATCH(1,('2024_Roster_Offseason'!$I259='2024_Draft_team'!$Q$2:$Q$271)*('2024_Roster_Offseason'!$A259='2024_Draft_team'!$B$2:$B$271),0))</f>
        <v>17</v>
      </c>
      <c r="Q259" s="12" t="s">
        <v>38</v>
      </c>
    </row>
    <row r="260" ht="14.25" customHeight="1">
      <c r="A260" s="2" t="s">
        <v>10</v>
      </c>
      <c r="B260" s="2" t="s">
        <v>59</v>
      </c>
      <c r="C260" s="2" t="s">
        <v>499</v>
      </c>
      <c r="D260" s="2" t="s">
        <v>500</v>
      </c>
      <c r="E260" s="2" t="s">
        <v>59</v>
      </c>
      <c r="F260" s="2" t="s">
        <v>32</v>
      </c>
      <c r="G260" s="2" t="s">
        <v>79</v>
      </c>
      <c r="H260" s="2"/>
      <c r="I260" s="2" t="str">
        <f>'2024_Roster_Offseason'!$C260&amp;'2024_Roster_Offseason'!$D260</f>
        <v>CamrynBynum</v>
      </c>
      <c r="J260" s="7">
        <v>0.2</v>
      </c>
      <c r="K260" s="7">
        <v>0.1</v>
      </c>
      <c r="L260" s="2">
        <v>0.0</v>
      </c>
      <c r="M260" s="2">
        <v>16.59</v>
      </c>
      <c r="N260" s="2">
        <v>0.0</v>
      </c>
      <c r="O260" s="18" t="str">
        <f t="array" ref="O260">INDEX('2024_Transactions'!$J$2:$J$339,MATCH(1,('2024_Transactions'!$C$2:$C$339='2024_Roster_Offseason'!$I260)*('2024_Roster_Offseason'!$A260='2024_Transactions'!$B$2:$B$339),0))</f>
        <v>Signed</v>
      </c>
      <c r="P260" s="14">
        <f t="array" ref="P260">IFERROR(INDEX('2024_Draft_team'!$J$2:$J$271,MATCH(1,('2024_Roster_Offseason'!$I260='2024_Draft_team'!$Q$2:$Q$271)*('2024_Roster_Offseason'!$A260='2024_Draft_team'!$B$2:$B$271),0)),15)</f>
        <v>15</v>
      </c>
      <c r="Q260" s="9" t="s">
        <v>34</v>
      </c>
    </row>
    <row r="261" ht="14.25" customHeight="1">
      <c r="A261" s="3" t="s">
        <v>10</v>
      </c>
      <c r="B261" s="3" t="s">
        <v>59</v>
      </c>
      <c r="C261" s="3" t="s">
        <v>501</v>
      </c>
      <c r="D261" s="3" t="s">
        <v>502</v>
      </c>
      <c r="E261" s="3" t="s">
        <v>59</v>
      </c>
      <c r="F261" s="3" t="s">
        <v>32</v>
      </c>
      <c r="G261" s="3" t="s">
        <v>58</v>
      </c>
      <c r="H261" s="3"/>
      <c r="I261" s="3" t="str">
        <f>'2024_Roster_Offseason'!$C261&amp;'2024_Roster_Offseason'!$D261</f>
        <v>TyrelDodson</v>
      </c>
      <c r="J261" s="10">
        <v>0.15</v>
      </c>
      <c r="K261" s="10">
        <v>0.06</v>
      </c>
      <c r="L261" s="3">
        <v>0.0</v>
      </c>
      <c r="M261" s="3">
        <v>18.41</v>
      </c>
      <c r="N261" s="3">
        <v>0.0</v>
      </c>
      <c r="O261" s="17" t="str">
        <f t="array" ref="O261">INDEX('2024_Transactions'!$J$2:$J$339,MATCH(1,('2024_Transactions'!$C$2:$C$339='2024_Roster_Offseason'!$I261)*('2024_Roster_Offseason'!$A261='2024_Transactions'!$B$2:$B$339),0))</f>
        <v>#N/A</v>
      </c>
      <c r="P261" s="11">
        <f t="array" ref="P261">INDEX('2024_Draft_team'!$J$2:$J$271,MATCH(1,('2024_Roster_Offseason'!$I261='2024_Draft_team'!$Q$2:$Q$271)*('2024_Roster_Offseason'!$A261='2024_Draft_team'!$B$2:$B$271),0))</f>
        <v>19</v>
      </c>
      <c r="Q261" s="12" t="s">
        <v>38</v>
      </c>
    </row>
    <row r="262" ht="14.25" customHeight="1">
      <c r="A262" s="2" t="s">
        <v>10</v>
      </c>
      <c r="B262" s="2" t="s">
        <v>59</v>
      </c>
      <c r="C262" s="2" t="s">
        <v>503</v>
      </c>
      <c r="D262" s="2" t="s">
        <v>504</v>
      </c>
      <c r="E262" s="2" t="s">
        <v>59</v>
      </c>
      <c r="F262" s="2" t="s">
        <v>32</v>
      </c>
      <c r="G262" s="2" t="s">
        <v>37</v>
      </c>
      <c r="H262" s="2"/>
      <c r="I262" s="2" t="str">
        <f>'2024_Roster_Offseason'!$C262&amp;'2024_Roster_Offseason'!$D262</f>
        <v>DreGreenlaw</v>
      </c>
      <c r="J262" s="7">
        <v>0.21</v>
      </c>
      <c r="K262" s="7">
        <v>0.03</v>
      </c>
      <c r="L262" s="2">
        <v>0.0</v>
      </c>
      <c r="M262" s="2">
        <v>7.5</v>
      </c>
      <c r="N262" s="2">
        <v>0.0</v>
      </c>
      <c r="O262" s="18" t="str">
        <f t="array" ref="O262">INDEX('2024_Transactions'!$J$2:$J$339,MATCH(1,('2024_Transactions'!$C$2:$C$339='2024_Roster_Offseason'!$I262)*('2024_Roster_Offseason'!$A262='2024_Transactions'!$B$2:$B$339),0))</f>
        <v>#N/A</v>
      </c>
      <c r="P262" s="8">
        <f t="array" ref="P262">INDEX('2024_Draft_team'!$J$2:$J$271,MATCH(1,('2024_Roster_Offseason'!$I262='2024_Draft_team'!$Q$2:$Q$271)*('2024_Roster_Offseason'!$A262='2024_Draft_team'!$B$2:$B$271),0))</f>
        <v>23</v>
      </c>
      <c r="Q262" s="9" t="s">
        <v>34</v>
      </c>
    </row>
    <row r="263" ht="14.25" customHeight="1">
      <c r="A263" s="3" t="s">
        <v>10</v>
      </c>
      <c r="B263" s="3" t="s">
        <v>59</v>
      </c>
      <c r="C263" s="3" t="s">
        <v>505</v>
      </c>
      <c r="D263" s="3" t="s">
        <v>506</v>
      </c>
      <c r="E263" s="3" t="s">
        <v>59</v>
      </c>
      <c r="F263" s="3" t="s">
        <v>32</v>
      </c>
      <c r="G263" s="3" t="s">
        <v>93</v>
      </c>
      <c r="H263" s="3"/>
      <c r="I263" s="3" t="str">
        <f>'2024_Roster_Offseason'!$C263&amp;'2024_Roster_Offseason'!$D263</f>
        <v>DamarHamlin</v>
      </c>
      <c r="J263" s="10">
        <v>0.11</v>
      </c>
      <c r="K263" s="10">
        <v>0.03</v>
      </c>
      <c r="L263" s="3">
        <v>0.0</v>
      </c>
      <c r="M263" s="3">
        <v>21.64</v>
      </c>
      <c r="N263" s="3">
        <v>0.0</v>
      </c>
      <c r="O263" s="17" t="str">
        <f t="array" ref="O263">INDEX('2024_Transactions'!$J$2:$J$339,MATCH(1,('2024_Transactions'!$C$2:$C$339='2024_Roster_Offseason'!$I263)*('2024_Roster_Offseason'!$A263='2024_Transactions'!$B$2:$B$339),0))</f>
        <v>Signed</v>
      </c>
      <c r="P263" s="13">
        <f t="array" ref="P263">IFERROR(INDEX('2024_Draft_team'!$J$2:$J$271,MATCH(1,('2024_Roster_Offseason'!$I263='2024_Draft_team'!$Q$2:$Q$271)*('2024_Roster_Offseason'!$A263='2024_Draft_team'!$B$2:$B$271),0)),15)</f>
        <v>15</v>
      </c>
      <c r="Q263" s="12" t="s">
        <v>34</v>
      </c>
    </row>
    <row r="264" ht="14.25" customHeight="1">
      <c r="A264" s="2" t="s">
        <v>10</v>
      </c>
      <c r="B264" s="2" t="s">
        <v>59</v>
      </c>
      <c r="C264" s="2" t="s">
        <v>264</v>
      </c>
      <c r="D264" s="2" t="s">
        <v>507</v>
      </c>
      <c r="E264" s="2" t="s">
        <v>59</v>
      </c>
      <c r="F264" s="2" t="s">
        <v>32</v>
      </c>
      <c r="G264" s="2" t="s">
        <v>141</v>
      </c>
      <c r="H264" s="2"/>
      <c r="I264" s="2" t="str">
        <f>'2024_Roster_Offseason'!$C264&amp;'2024_Roster_Offseason'!$D264</f>
        <v>DavidLong</v>
      </c>
      <c r="J264" s="7">
        <v>0.05</v>
      </c>
      <c r="K264" s="7">
        <v>0.01</v>
      </c>
      <c r="L264" s="2">
        <v>0.0</v>
      </c>
      <c r="M264" s="2">
        <v>8.54</v>
      </c>
      <c r="N264" s="2">
        <v>0.0</v>
      </c>
      <c r="O264" s="18" t="str">
        <f t="array" ref="O264">INDEX('2024_Transactions'!$J$2:$J$339,MATCH(1,('2024_Transactions'!$C$2:$C$339='2024_Roster_Offseason'!$I264)*('2024_Roster_Offseason'!$A264='2024_Transactions'!$B$2:$B$339),0))</f>
        <v>#N/A</v>
      </c>
      <c r="P264" s="8">
        <f t="array" ref="P264">INDEX('2024_Draft_team'!$J$2:$J$271,MATCH(1,('2024_Roster_Offseason'!$I264='2024_Draft_team'!$Q$2:$Q$271)*('2024_Roster_Offseason'!$A264='2024_Draft_team'!$B$2:$B$271),0))</f>
        <v>24</v>
      </c>
      <c r="Q264" s="9" t="s">
        <v>34</v>
      </c>
    </row>
    <row r="265" ht="14.25" customHeight="1">
      <c r="A265" s="3" t="s">
        <v>10</v>
      </c>
      <c r="B265" s="3" t="s">
        <v>59</v>
      </c>
      <c r="C265" s="3" t="s">
        <v>457</v>
      </c>
      <c r="D265" s="3" t="s">
        <v>508</v>
      </c>
      <c r="E265" s="3" t="s">
        <v>59</v>
      </c>
      <c r="F265" s="3" t="s">
        <v>32</v>
      </c>
      <c r="G265" s="3" t="s">
        <v>93</v>
      </c>
      <c r="H265" s="3"/>
      <c r="I265" s="3" t="str">
        <f>'2024_Roster_Offseason'!$C265&amp;'2024_Roster_Offseason'!$D265</f>
        <v>MattMilano</v>
      </c>
      <c r="J265" s="10">
        <v>0.2</v>
      </c>
      <c r="K265" s="10">
        <v>0.09</v>
      </c>
      <c r="L265" s="3">
        <v>0.0</v>
      </c>
      <c r="M265" s="3">
        <v>24.75</v>
      </c>
      <c r="N265" s="3">
        <v>0.0</v>
      </c>
      <c r="O265" s="17" t="str">
        <f t="array" ref="O265">INDEX('2024_Transactions'!$J$2:$J$339,MATCH(1,('2024_Transactions'!$C$2:$C$339='2024_Roster_Offseason'!$I265)*('2024_Roster_Offseason'!$A265='2024_Transactions'!$B$2:$B$339),0))</f>
        <v>Signed</v>
      </c>
      <c r="P265" s="13">
        <f t="array" ref="P265">IFERROR(INDEX('2024_Draft_team'!$J$2:$J$271,MATCH(1,('2024_Roster_Offseason'!$I265='2024_Draft_team'!$Q$2:$Q$271)*('2024_Roster_Offseason'!$A265='2024_Draft_team'!$B$2:$B$271),0)),15)</f>
        <v>15</v>
      </c>
      <c r="Q265" s="12" t="s">
        <v>34</v>
      </c>
    </row>
    <row r="266" ht="14.25" customHeight="1">
      <c r="A266" s="2" t="s">
        <v>10</v>
      </c>
      <c r="B266" s="2" t="s">
        <v>59</v>
      </c>
      <c r="C266" s="2" t="s">
        <v>509</v>
      </c>
      <c r="D266" s="2" t="s">
        <v>187</v>
      </c>
      <c r="E266" s="2" t="s">
        <v>59</v>
      </c>
      <c r="F266" s="2" t="s">
        <v>32</v>
      </c>
      <c r="G266" s="2" t="s">
        <v>141</v>
      </c>
      <c r="H266" s="2"/>
      <c r="I266" s="2" t="str">
        <f>'2024_Roster_Offseason'!$C266&amp;'2024_Roster_Offseason'!$D266</f>
        <v>Za'DariusSmith</v>
      </c>
      <c r="J266" s="7">
        <v>0.11</v>
      </c>
      <c r="K266" s="7">
        <v>0.06</v>
      </c>
      <c r="L266" s="2">
        <v>0.0</v>
      </c>
      <c r="M266" s="2">
        <v>11.24</v>
      </c>
      <c r="N266" s="2">
        <v>0.0</v>
      </c>
      <c r="O266" s="18" t="str">
        <f t="array" ref="O266">INDEX('2024_Transactions'!$J$2:$J$339,MATCH(1,('2024_Transactions'!$C$2:$C$339='2024_Roster_Offseason'!$I266)*('2024_Roster_Offseason'!$A266='2024_Transactions'!$B$2:$B$339),0))</f>
        <v>Signed</v>
      </c>
      <c r="P266" s="14">
        <f t="array" ref="P266">IFERROR(INDEX('2024_Draft_team'!$J$2:$J$271,MATCH(1,('2024_Roster_Offseason'!$I266='2024_Draft_team'!$Q$2:$Q$271)*('2024_Roster_Offseason'!$A266='2024_Draft_team'!$B$2:$B$271),0)),15)</f>
        <v>15</v>
      </c>
      <c r="Q266" s="9" t="s">
        <v>34</v>
      </c>
    </row>
    <row r="267" ht="14.25" customHeight="1">
      <c r="A267" s="3" t="s">
        <v>10</v>
      </c>
      <c r="B267" s="3" t="s">
        <v>29</v>
      </c>
      <c r="C267" s="3" t="s">
        <v>510</v>
      </c>
      <c r="D267" s="3" t="s">
        <v>511</v>
      </c>
      <c r="E267" s="3" t="s">
        <v>29</v>
      </c>
      <c r="F267" s="3" t="s">
        <v>32</v>
      </c>
      <c r="G267" s="3" t="s">
        <v>148</v>
      </c>
      <c r="H267" s="3"/>
      <c r="I267" s="3" t="str">
        <f>'2024_Roster_Offseason'!$C267&amp;'2024_Roster_Offseason'!$D267</f>
        <v>TrevorLawrence</v>
      </c>
      <c r="J267" s="10">
        <v>0.23</v>
      </c>
      <c r="K267" s="10">
        <v>0.01</v>
      </c>
      <c r="L267" s="3">
        <v>0.0</v>
      </c>
      <c r="M267" s="3">
        <v>30.7</v>
      </c>
      <c r="N267" s="3">
        <v>0.0</v>
      </c>
      <c r="O267" s="17" t="str">
        <f t="array" ref="O267">INDEX('2024_Transactions'!$J$2:$J$339,MATCH(1,('2024_Transactions'!$C$2:$C$339='2024_Roster_Offseason'!$I267)*('2024_Roster_Offseason'!$A267='2024_Transactions'!$B$2:$B$339),0))</f>
        <v>#N/A</v>
      </c>
      <c r="P267" s="11">
        <f t="array" ref="P267">INDEX('2024_Draft_team'!$J$2:$J$271,MATCH(1,('2024_Roster_Offseason'!$I267='2024_Draft_team'!$Q$2:$Q$271)*('2024_Roster_Offseason'!$A267='2024_Draft_team'!$B$2:$B$271),0))</f>
        <v>1</v>
      </c>
      <c r="Q267" s="12" t="s">
        <v>34</v>
      </c>
    </row>
    <row r="268" ht="14.25" customHeight="1">
      <c r="A268" s="2" t="s">
        <v>10</v>
      </c>
      <c r="B268" s="2" t="s">
        <v>59</v>
      </c>
      <c r="C268" s="2" t="s">
        <v>512</v>
      </c>
      <c r="D268" s="2" t="s">
        <v>513</v>
      </c>
      <c r="E268" s="2" t="s">
        <v>59</v>
      </c>
      <c r="F268" s="2" t="s">
        <v>32</v>
      </c>
      <c r="G268" s="2" t="s">
        <v>444</v>
      </c>
      <c r="H268" s="2"/>
      <c r="I268" s="2" t="str">
        <f>'2024_Roster_Offseason'!$C268&amp;'2024_Roster_Offseason'!$D268</f>
        <v>Ja'WhaunBentley</v>
      </c>
      <c r="J268" s="7">
        <v>0.06</v>
      </c>
      <c r="K268" s="7">
        <v>0.01</v>
      </c>
      <c r="L268" s="2">
        <v>0.0</v>
      </c>
      <c r="M268" s="2">
        <v>15.5</v>
      </c>
      <c r="N268" s="2">
        <v>0.0</v>
      </c>
      <c r="O268" s="18" t="str">
        <f t="array" ref="O268">INDEX('2024_Transactions'!$J$2:$J$339,MATCH(1,('2024_Transactions'!$C$2:$C$339='2024_Roster_Offseason'!$I268)*('2024_Roster_Offseason'!$A268='2024_Transactions'!$B$2:$B$339),0))</f>
        <v>#N/A</v>
      </c>
      <c r="P268" s="8">
        <f t="array" ref="P268">INDEX('2024_Draft_team'!$J$2:$J$271,MATCH(1,('2024_Roster_Offseason'!$I268='2024_Draft_team'!$Q$2:$Q$271)*('2024_Roster_Offseason'!$A268='2024_Draft_team'!$B$2:$B$271),0))</f>
        <v>22</v>
      </c>
      <c r="Q268" s="9" t="s">
        <v>34</v>
      </c>
    </row>
    <row r="269" ht="14.25" customHeight="1">
      <c r="A269" s="3" t="s">
        <v>10</v>
      </c>
      <c r="B269" s="3" t="s">
        <v>59</v>
      </c>
      <c r="C269" s="3" t="s">
        <v>514</v>
      </c>
      <c r="D269" s="3" t="s">
        <v>515</v>
      </c>
      <c r="E269" s="3" t="s">
        <v>59</v>
      </c>
      <c r="F269" s="3" t="s">
        <v>32</v>
      </c>
      <c r="G269" s="3" t="s">
        <v>136</v>
      </c>
      <c r="H269" s="3"/>
      <c r="I269" s="3" t="str">
        <f>'2024_Roster_Offseason'!$C269&amp;'2024_Roster_Offseason'!$D269</f>
        <v>TroyReeder</v>
      </c>
      <c r="J269" s="10">
        <v>0.03</v>
      </c>
      <c r="K269" s="10">
        <v>0.01</v>
      </c>
      <c r="L269" s="3">
        <v>0.0</v>
      </c>
      <c r="M269" s="3">
        <v>17.0</v>
      </c>
      <c r="N269" s="3">
        <v>0.0</v>
      </c>
      <c r="O269" s="17" t="str">
        <f t="array" ref="O269">INDEX('2024_Transactions'!$J$2:$J$339,MATCH(1,('2024_Transactions'!$C$2:$C$339='2024_Roster_Offseason'!$I269)*('2024_Roster_Offseason'!$A269='2024_Transactions'!$B$2:$B$339),0))</f>
        <v>Signed</v>
      </c>
      <c r="P269" s="13">
        <f t="array" ref="P269">IFERROR(INDEX('2024_Draft_team'!$J$2:$J$271,MATCH(1,('2024_Roster_Offseason'!$I269='2024_Draft_team'!$Q$2:$Q$271)*('2024_Roster_Offseason'!$A269='2024_Draft_team'!$B$2:$B$271),0)),15)</f>
        <v>15</v>
      </c>
      <c r="Q269" s="12" t="s">
        <v>34</v>
      </c>
    </row>
    <row r="270" ht="14.25" customHeight="1">
      <c r="A270" s="2" t="s">
        <v>10</v>
      </c>
      <c r="B270" s="2" t="s">
        <v>59</v>
      </c>
      <c r="C270" s="2" t="s">
        <v>516</v>
      </c>
      <c r="D270" s="2" t="s">
        <v>215</v>
      </c>
      <c r="E270" s="2" t="s">
        <v>59</v>
      </c>
      <c r="F270" s="2" t="s">
        <v>32</v>
      </c>
      <c r="G270" s="2" t="s">
        <v>119</v>
      </c>
      <c r="H270" s="2"/>
      <c r="I270" s="2" t="str">
        <f>'2024_Roster_Offseason'!$C270&amp;'2024_Roster_Offseason'!$D270</f>
        <v>LoganWilson</v>
      </c>
      <c r="J270" s="7">
        <v>0.42</v>
      </c>
      <c r="K270" s="7">
        <v>0.06</v>
      </c>
      <c r="L270" s="2">
        <v>0.0</v>
      </c>
      <c r="M270" s="2">
        <v>20.55</v>
      </c>
      <c r="N270" s="2">
        <v>0.0</v>
      </c>
      <c r="O270" s="18" t="str">
        <f t="array" ref="O270">INDEX('2024_Transactions'!$J$2:$J$339,MATCH(1,('2024_Transactions'!$C$2:$C$339='2024_Roster_Offseason'!$I270)*('2024_Roster_Offseason'!$A270='2024_Transactions'!$B$2:$B$339),0))</f>
        <v>#N/A</v>
      </c>
      <c r="P270" s="8">
        <f t="array" ref="P270">INDEX('2024_Draft_team'!$J$2:$J$271,MATCH(1,('2024_Roster_Offseason'!$I270='2024_Draft_team'!$Q$2:$Q$271)*('2024_Roster_Offseason'!$A270='2024_Draft_team'!$B$2:$B$271),0))</f>
        <v>2</v>
      </c>
      <c r="Q270" s="9" t="s">
        <v>34</v>
      </c>
    </row>
    <row r="271" ht="14.25" customHeight="1">
      <c r="A271" s="3" t="s">
        <v>6</v>
      </c>
      <c r="B271" s="3" t="s">
        <v>29</v>
      </c>
      <c r="C271" s="3" t="s">
        <v>219</v>
      </c>
      <c r="D271" s="3" t="s">
        <v>517</v>
      </c>
      <c r="E271" s="3" t="s">
        <v>29</v>
      </c>
      <c r="F271" s="3" t="s">
        <v>32</v>
      </c>
      <c r="G271" s="3" t="s">
        <v>119</v>
      </c>
      <c r="H271" s="3"/>
      <c r="I271" s="3" t="str">
        <f>'2024_Roster_Offseason'!$C271&amp;'2024_Roster_Offseason'!$D271</f>
        <v>JoeBurrow</v>
      </c>
      <c r="J271" s="10">
        <v>1.0</v>
      </c>
      <c r="K271" s="10">
        <v>0.94</v>
      </c>
      <c r="L271" s="3">
        <v>0.0</v>
      </c>
      <c r="M271" s="3">
        <v>51.18</v>
      </c>
      <c r="N271" s="3">
        <v>0.0</v>
      </c>
      <c r="O271" s="3" t="str">
        <f t="array" ref="O271">INDEX('2024_Transactions'!$J$2:$J$339,MATCH(1,('2024_Transactions'!$C$2:$C$339='2024_Roster_Offseason'!$I271)*('2024_Roster_Offseason'!$A271='2024_Transactions'!$B$2:$B$339),0))</f>
        <v>#N/A</v>
      </c>
      <c r="P271" s="11" t="str">
        <f t="array" ref="P271">INDEX('2024_Draft_team'!$J$2:$J$271,MATCH(1,('2024_Roster_Offseason'!$I271='2024_Draft_team'!$Q$2:$Q$271)*('2024_Roster_Offseason'!$A271='2024_Draft_team'!$B$2:$B$271),0))</f>
        <v>N/A</v>
      </c>
      <c r="Q271" s="19"/>
    </row>
    <row r="272" ht="14.25" customHeight="1">
      <c r="A272" s="2" t="s">
        <v>6</v>
      </c>
      <c r="B272" s="2" t="s">
        <v>29</v>
      </c>
      <c r="C272" s="2" t="s">
        <v>518</v>
      </c>
      <c r="D272" s="2" t="s">
        <v>519</v>
      </c>
      <c r="E272" s="2" t="s">
        <v>29</v>
      </c>
      <c r="F272" s="2" t="s">
        <v>32</v>
      </c>
      <c r="G272" s="2" t="s">
        <v>136</v>
      </c>
      <c r="H272" s="2"/>
      <c r="I272" s="2" t="str">
        <f>'2024_Roster_Offseason'!$C272&amp;'2024_Roster_Offseason'!$D272</f>
        <v>MatthewStafford</v>
      </c>
      <c r="J272" s="7">
        <v>0.82</v>
      </c>
      <c r="K272" s="7">
        <v>0.32</v>
      </c>
      <c r="L272" s="2">
        <v>0.0</v>
      </c>
      <c r="M272" s="2">
        <v>36.25</v>
      </c>
      <c r="N272" s="2">
        <v>0.0</v>
      </c>
      <c r="O272" s="2" t="str">
        <f t="array" ref="O272">INDEX('2024_Transactions'!$J$2:$J$339,MATCH(1,('2024_Transactions'!$C$2:$C$339='2024_Roster_Offseason'!$I272)*('2024_Roster_Offseason'!$A272='2024_Transactions'!$B$2:$B$339),0))</f>
        <v>#N/A</v>
      </c>
      <c r="P272" s="8">
        <f t="array" ref="P272">INDEX('2024_Draft_team'!$J$2:$J$271,MATCH(1,('2024_Roster_Offseason'!$I272='2024_Draft_team'!$Q$2:$Q$271)*('2024_Roster_Offseason'!$A272='2024_Draft_team'!$B$2:$B$271),0))</f>
        <v>11</v>
      </c>
      <c r="Q272" s="16"/>
    </row>
    <row r="273" ht="14.25" customHeight="1">
      <c r="A273" s="3" t="s">
        <v>6</v>
      </c>
      <c r="B273" s="3" t="s">
        <v>39</v>
      </c>
      <c r="C273" s="3" t="s">
        <v>193</v>
      </c>
      <c r="D273" s="3" t="s">
        <v>134</v>
      </c>
      <c r="E273" s="3" t="s">
        <v>39</v>
      </c>
      <c r="F273" s="3" t="s">
        <v>32</v>
      </c>
      <c r="G273" s="3" t="s">
        <v>119</v>
      </c>
      <c r="H273" s="3"/>
      <c r="I273" s="3" t="str">
        <f>'2024_Roster_Offseason'!$C273&amp;'2024_Roster_Offseason'!$D273</f>
        <v>ChaseBrown</v>
      </c>
      <c r="J273" s="10">
        <v>0.99</v>
      </c>
      <c r="K273" s="10">
        <v>0.89</v>
      </c>
      <c r="L273" s="3">
        <v>0.0</v>
      </c>
      <c r="M273" s="3">
        <v>24.19</v>
      </c>
      <c r="N273" s="3">
        <v>0.0</v>
      </c>
      <c r="O273" s="3" t="str">
        <f t="array" ref="O273">INDEX('2024_Transactions'!$J$2:$J$339,MATCH(1,('2024_Transactions'!$C$2:$C$339='2024_Roster_Offseason'!$I273)*('2024_Roster_Offseason'!$A273='2024_Transactions'!$B$2:$B$339),0))</f>
        <v>#N/A</v>
      </c>
      <c r="P273" s="11">
        <f t="array" ref="P273">INDEX('2024_Draft_team'!$J$2:$J$271,MATCH(1,('2024_Roster_Offseason'!$I273='2024_Draft_team'!$Q$2:$Q$271)*('2024_Roster_Offseason'!$A273='2024_Draft_team'!$B$2:$B$271),0))</f>
        <v>16</v>
      </c>
      <c r="Q273" s="15" t="s">
        <v>38</v>
      </c>
    </row>
    <row r="274" ht="14.25" customHeight="1">
      <c r="A274" s="2" t="s">
        <v>6</v>
      </c>
      <c r="B274" s="2" t="s">
        <v>39</v>
      </c>
      <c r="C274" s="2" t="s">
        <v>520</v>
      </c>
      <c r="D274" s="2" t="s">
        <v>521</v>
      </c>
      <c r="E274" s="2" t="s">
        <v>39</v>
      </c>
      <c r="F274" s="2" t="s">
        <v>32</v>
      </c>
      <c r="G274" s="2" t="s">
        <v>444</v>
      </c>
      <c r="H274" s="2"/>
      <c r="I274" s="2" t="str">
        <f>'2024_Roster_Offseason'!$C274&amp;'2024_Roster_Offseason'!$D274</f>
        <v>RhamondreStevenson</v>
      </c>
      <c r="J274" s="7">
        <v>0.97</v>
      </c>
      <c r="K274" s="7">
        <v>0.44</v>
      </c>
      <c r="L274" s="2">
        <v>0.0</v>
      </c>
      <c r="M274" s="2">
        <v>18.07</v>
      </c>
      <c r="N274" s="2">
        <v>0.0</v>
      </c>
      <c r="O274" s="2" t="str">
        <f t="array" ref="O274">INDEX('2024_Transactions'!$J$2:$J$339,MATCH(1,('2024_Transactions'!$C$2:$C$339='2024_Roster_Offseason'!$I274)*('2024_Roster_Offseason'!$A274='2024_Transactions'!$B$2:$B$339),0))</f>
        <v>#N/A</v>
      </c>
      <c r="P274" s="8">
        <f t="array" ref="P274">INDEX('2024_Draft_team'!$J$2:$J$271,MATCH(1,('2024_Roster_Offseason'!$I274='2024_Draft_team'!$Q$2:$Q$271)*('2024_Roster_Offseason'!$A274='2024_Draft_team'!$B$2:$B$271),0))</f>
        <v>1</v>
      </c>
      <c r="Q274" s="20"/>
    </row>
    <row r="275" ht="14.25" customHeight="1">
      <c r="A275" s="3" t="s">
        <v>6</v>
      </c>
      <c r="B275" s="3" t="s">
        <v>46</v>
      </c>
      <c r="C275" s="3" t="s">
        <v>442</v>
      </c>
      <c r="D275" s="3" t="s">
        <v>522</v>
      </c>
      <c r="E275" s="3" t="s">
        <v>46</v>
      </c>
      <c r="F275" s="3" t="s">
        <v>32</v>
      </c>
      <c r="G275" s="3" t="s">
        <v>63</v>
      </c>
      <c r="H275" s="3"/>
      <c r="I275" s="3" t="str">
        <f>'2024_Roster_Offseason'!$C275&amp;'2024_Roster_Offseason'!$D275</f>
        <v>DrakeLondon</v>
      </c>
      <c r="J275" s="10">
        <v>0.99</v>
      </c>
      <c r="K275" s="10">
        <v>0.8</v>
      </c>
      <c r="L275" s="3">
        <v>0.0</v>
      </c>
      <c r="M275" s="3">
        <v>25.65</v>
      </c>
      <c r="N275" s="3">
        <v>0.0</v>
      </c>
      <c r="O275" s="3" t="str">
        <f t="array" ref="O275">INDEX('2024_Transactions'!$J$2:$J$339,MATCH(1,('2024_Transactions'!$C$2:$C$339='2024_Roster_Offseason'!$I275)*('2024_Roster_Offseason'!$A275='2024_Transactions'!$B$2:$B$339),0))</f>
        <v>#N/A</v>
      </c>
      <c r="P275" s="11">
        <f t="array" ref="P275">INDEX('2024_Draft_team'!$J$2:$J$271,MATCH(1,('2024_Roster_Offseason'!$I275='2024_Draft_team'!$Q$2:$Q$271)*('2024_Roster_Offseason'!$A275='2024_Draft_team'!$B$2:$B$271),0))</f>
        <v>6</v>
      </c>
      <c r="Q275" s="15" t="s">
        <v>38</v>
      </c>
    </row>
    <row r="276" ht="14.25" customHeight="1">
      <c r="A276" s="2" t="s">
        <v>6</v>
      </c>
      <c r="B276" s="2" t="s">
        <v>46</v>
      </c>
      <c r="C276" s="2" t="s">
        <v>523</v>
      </c>
      <c r="D276" s="2" t="s">
        <v>524</v>
      </c>
      <c r="E276" s="2" t="s">
        <v>46</v>
      </c>
      <c r="F276" s="2" t="s">
        <v>32</v>
      </c>
      <c r="G276" s="2" t="s">
        <v>66</v>
      </c>
      <c r="H276" s="2"/>
      <c r="I276" s="2" t="str">
        <f>'2024_Roster_Offseason'!$C276&amp;'2024_Roster_Offseason'!$D276</f>
        <v>DJMoore</v>
      </c>
      <c r="J276" s="7">
        <v>0.98</v>
      </c>
      <c r="K276" s="7">
        <v>0.64</v>
      </c>
      <c r="L276" s="2">
        <v>0.0</v>
      </c>
      <c r="M276" s="2">
        <v>22.53</v>
      </c>
      <c r="N276" s="2">
        <v>0.0</v>
      </c>
      <c r="O276" s="2" t="str">
        <f t="array" ref="O276">INDEX('2024_Transactions'!$J$2:$J$339,MATCH(1,('2024_Transactions'!$C$2:$C$339='2024_Roster_Offseason'!$I276)*('2024_Roster_Offseason'!$A276='2024_Transactions'!$B$2:$B$339),0))</f>
        <v>#N/A</v>
      </c>
      <c r="P276" s="8">
        <f t="array" ref="P276">INDEX('2024_Draft_team'!$J$2:$J$271,MATCH(1,('2024_Roster_Offseason'!$I276='2024_Draft_team'!$Q$2:$Q$271)*('2024_Roster_Offseason'!$A276='2024_Draft_team'!$B$2:$B$271),0))</f>
        <v>3</v>
      </c>
      <c r="Q276" s="16"/>
    </row>
    <row r="277" ht="14.25" customHeight="1">
      <c r="A277" s="3" t="s">
        <v>6</v>
      </c>
      <c r="B277" s="3" t="s">
        <v>46</v>
      </c>
      <c r="C277" s="3" t="s">
        <v>184</v>
      </c>
      <c r="D277" s="3" t="s">
        <v>451</v>
      </c>
      <c r="E277" s="3" t="s">
        <v>46</v>
      </c>
      <c r="F277" s="3" t="s">
        <v>32</v>
      </c>
      <c r="G277" s="3" t="s">
        <v>45</v>
      </c>
      <c r="H277" s="3"/>
      <c r="I277" s="3" t="str">
        <f>'2024_Roster_Offseason'!$C277&amp;'2024_Roster_Offseason'!$D277</f>
        <v>JaydenReed</v>
      </c>
      <c r="J277" s="10">
        <v>0.97</v>
      </c>
      <c r="K277" s="10">
        <v>0.6</v>
      </c>
      <c r="L277" s="3">
        <v>0.0</v>
      </c>
      <c r="M277" s="3">
        <v>19.71</v>
      </c>
      <c r="N277" s="3">
        <v>0.0</v>
      </c>
      <c r="O277" s="3" t="str">
        <f t="array" ref="O277">INDEX('2024_Transactions'!$J$2:$J$339,MATCH(1,('2024_Transactions'!$C$2:$C$339='2024_Roster_Offseason'!$I277)*('2024_Roster_Offseason'!$A277='2024_Transactions'!$B$2:$B$339),0))</f>
        <v>#N/A</v>
      </c>
      <c r="P277" s="11">
        <f t="array" ref="P277">INDEX('2024_Draft_team'!$J$2:$J$271,MATCH(1,('2024_Roster_Offseason'!$I277='2024_Draft_team'!$Q$2:$Q$271)*('2024_Roster_Offseason'!$A277='2024_Draft_team'!$B$2:$B$271),0))</f>
        <v>12</v>
      </c>
      <c r="Q277" s="15" t="s">
        <v>38</v>
      </c>
    </row>
    <row r="278" ht="14.25" customHeight="1">
      <c r="A278" s="2" t="s">
        <v>6</v>
      </c>
      <c r="B278" s="2" t="s">
        <v>55</v>
      </c>
      <c r="C278" s="2" t="s">
        <v>525</v>
      </c>
      <c r="D278" s="2" t="s">
        <v>526</v>
      </c>
      <c r="E278" s="2" t="s">
        <v>55</v>
      </c>
      <c r="F278" s="2" t="s">
        <v>32</v>
      </c>
      <c r="G278" s="2" t="s">
        <v>54</v>
      </c>
      <c r="H278" s="2"/>
      <c r="I278" s="2" t="str">
        <f>'2024_Roster_Offseason'!$C278&amp;'2024_Roster_Offseason'!$D278</f>
        <v>CameronDicker</v>
      </c>
      <c r="J278" s="7">
        <v>0.89</v>
      </c>
      <c r="K278" s="7">
        <v>0.79</v>
      </c>
      <c r="L278" s="2">
        <v>0.0</v>
      </c>
      <c r="M278" s="2">
        <v>21.88</v>
      </c>
      <c r="N278" s="2">
        <v>0.0</v>
      </c>
      <c r="O278" s="2" t="str">
        <f t="array" ref="O278">INDEX('2024_Transactions'!$J$2:$J$339,MATCH(1,('2024_Transactions'!$C$2:$C$339='2024_Roster_Offseason'!$I278)*('2024_Roster_Offseason'!$A278='2024_Transactions'!$B$2:$B$339),0))</f>
        <v>Signed</v>
      </c>
      <c r="P278" s="14">
        <f t="array" ref="P278">IFERROR(INDEX('2024_Draft_team'!$J$2:$J$271,MATCH(1,('2024_Roster_Offseason'!$I278='2024_Draft_team'!$Q$2:$Q$271)*('2024_Roster_Offseason'!$A278='2024_Draft_team'!$B$2:$B$271),0)),15)</f>
        <v>15</v>
      </c>
      <c r="Q278" s="20"/>
    </row>
    <row r="279" ht="14.25" customHeight="1">
      <c r="A279" s="3" t="s">
        <v>6</v>
      </c>
      <c r="B279" s="3" t="s">
        <v>59</v>
      </c>
      <c r="C279" s="3" t="s">
        <v>158</v>
      </c>
      <c r="D279" s="3" t="s">
        <v>527</v>
      </c>
      <c r="E279" s="3" t="s">
        <v>59</v>
      </c>
      <c r="F279" s="3" t="s">
        <v>32</v>
      </c>
      <c r="G279" s="3" t="s">
        <v>141</v>
      </c>
      <c r="H279" s="3"/>
      <c r="I279" s="3" t="str">
        <f>'2024_Roster_Offseason'!$C279&amp;'2024_Roster_Offseason'!$D279</f>
        <v>BrianBranch</v>
      </c>
      <c r="J279" s="10">
        <v>1.0</v>
      </c>
      <c r="K279" s="10">
        <v>0.95</v>
      </c>
      <c r="L279" s="3">
        <v>0.0</v>
      </c>
      <c r="M279" s="3">
        <v>26.12</v>
      </c>
      <c r="N279" s="3">
        <v>0.0</v>
      </c>
      <c r="O279" s="3" t="str">
        <f t="array" ref="O279">INDEX('2024_Transactions'!$J$2:$J$339,MATCH(1,('2024_Transactions'!$C$2:$C$339='2024_Roster_Offseason'!$I279)*('2024_Roster_Offseason'!$A279='2024_Transactions'!$B$2:$B$339),0))</f>
        <v>#N/A</v>
      </c>
      <c r="P279" s="11">
        <f t="array" ref="P279">INDEX('2024_Draft_team'!$J$2:$J$271,MATCH(1,('2024_Roster_Offseason'!$I279='2024_Draft_team'!$Q$2:$Q$271)*('2024_Roster_Offseason'!$A279='2024_Draft_team'!$B$2:$B$271),0))</f>
        <v>21</v>
      </c>
      <c r="Q279" s="15" t="s">
        <v>38</v>
      </c>
    </row>
    <row r="280" ht="14.25" customHeight="1">
      <c r="A280" s="2" t="s">
        <v>6</v>
      </c>
      <c r="B280" s="2" t="s">
        <v>59</v>
      </c>
      <c r="C280" s="2" t="s">
        <v>40</v>
      </c>
      <c r="D280" s="2" t="s">
        <v>528</v>
      </c>
      <c r="E280" s="2" t="s">
        <v>59</v>
      </c>
      <c r="F280" s="2" t="s">
        <v>32</v>
      </c>
      <c r="G280" s="2" t="s">
        <v>105</v>
      </c>
      <c r="H280" s="2"/>
      <c r="I280" s="2" t="str">
        <f>'2024_Roster_Offseason'!$C280&amp;'2024_Roster_Offseason'!$D280</f>
        <v>NickCross</v>
      </c>
      <c r="J280" s="7">
        <v>0.77</v>
      </c>
      <c r="K280" s="7">
        <v>0.6</v>
      </c>
      <c r="L280" s="2">
        <v>0.0</v>
      </c>
      <c r="M280" s="2">
        <v>23.41</v>
      </c>
      <c r="N280" s="2">
        <v>0.0</v>
      </c>
      <c r="O280" s="2" t="str">
        <f t="array" ref="O280">INDEX('2024_Transactions'!$J$2:$J$339,MATCH(1,('2024_Transactions'!$C$2:$C$339='2024_Roster_Offseason'!$I280)*('2024_Roster_Offseason'!$A280='2024_Transactions'!$B$2:$B$339),0))</f>
        <v>Signed</v>
      </c>
      <c r="P280" s="14">
        <f t="array" ref="P280">IFERROR(INDEX('2024_Draft_team'!$J$2:$J$271,MATCH(1,('2024_Roster_Offseason'!$I280='2024_Draft_team'!$Q$2:$Q$271)*('2024_Roster_Offseason'!$A280='2024_Draft_team'!$B$2:$B$271),0)),15)</f>
        <v>15</v>
      </c>
      <c r="Q280" s="20"/>
    </row>
    <row r="281" ht="14.25" customHeight="1">
      <c r="A281" s="3" t="s">
        <v>6</v>
      </c>
      <c r="B281" s="3" t="s">
        <v>59</v>
      </c>
      <c r="C281" s="3" t="s">
        <v>529</v>
      </c>
      <c r="D281" s="3" t="s">
        <v>530</v>
      </c>
      <c r="E281" s="3" t="s">
        <v>59</v>
      </c>
      <c r="F281" s="3" t="s">
        <v>32</v>
      </c>
      <c r="G281" s="3" t="s">
        <v>33</v>
      </c>
      <c r="H281" s="3"/>
      <c r="I281" s="3" t="str">
        <f>'2024_Roster_Offseason'!$C281&amp;'2024_Roster_Offseason'!$D281</f>
        <v>DemarioDavis</v>
      </c>
      <c r="J281" s="10">
        <v>0.37</v>
      </c>
      <c r="K281" s="10">
        <v>0.26</v>
      </c>
      <c r="L281" s="3">
        <v>0.0</v>
      </c>
      <c r="M281" s="3">
        <v>20.81</v>
      </c>
      <c r="N281" s="3">
        <v>0.0</v>
      </c>
      <c r="O281" s="3" t="str">
        <f t="array" ref="O281">INDEX('2024_Transactions'!$J$2:$J$339,MATCH(1,('2024_Transactions'!$C$2:$C$339='2024_Roster_Offseason'!$I281)*('2024_Roster_Offseason'!$A281='2024_Transactions'!$B$2:$B$339),0))</f>
        <v>#N/A</v>
      </c>
      <c r="P281" s="11">
        <f t="array" ref="P281">INDEX('2024_Draft_team'!$J$2:$J$271,MATCH(1,('2024_Roster_Offseason'!$I281='2024_Draft_team'!$Q$2:$Q$271)*('2024_Roster_Offseason'!$A281='2024_Draft_team'!$B$2:$B$271),0))</f>
        <v>10</v>
      </c>
      <c r="Q281" s="15" t="s">
        <v>38</v>
      </c>
    </row>
    <row r="282" ht="14.25" customHeight="1">
      <c r="A282" s="2" t="s">
        <v>6</v>
      </c>
      <c r="B282" s="2" t="s">
        <v>59</v>
      </c>
      <c r="C282" s="2" t="s">
        <v>531</v>
      </c>
      <c r="D282" s="2" t="s">
        <v>326</v>
      </c>
      <c r="E282" s="2" t="s">
        <v>59</v>
      </c>
      <c r="F282" s="2" t="s">
        <v>32</v>
      </c>
      <c r="G282" s="2" t="s">
        <v>42</v>
      </c>
      <c r="H282" s="2"/>
      <c r="I282" s="2" t="str">
        <f>'2024_Roster_Offseason'!$C282&amp;'2024_Roster_Offseason'!$D282</f>
        <v>MylesGarrett</v>
      </c>
      <c r="J282" s="7">
        <v>1.0</v>
      </c>
      <c r="K282" s="7">
        <v>0.94</v>
      </c>
      <c r="L282" s="2">
        <v>0.0</v>
      </c>
      <c r="M282" s="2">
        <v>18.71</v>
      </c>
      <c r="N282" s="2">
        <v>0.0</v>
      </c>
      <c r="O282" s="2" t="str">
        <f t="array" ref="O282">INDEX('2024_Transactions'!$J$2:$J$339,MATCH(1,('2024_Transactions'!$C$2:$C$339='2024_Roster_Offseason'!$I282)*('2024_Roster_Offseason'!$A282='2024_Transactions'!$B$2:$B$339),0))</f>
        <v>#N/A</v>
      </c>
      <c r="P282" s="8" t="str">
        <f t="array" ref="P282">INDEX('2024_Draft_team'!$J$2:$J$271,MATCH(1,('2024_Roster_Offseason'!$I282='2024_Draft_team'!$Q$2:$Q$271)*('2024_Roster_Offseason'!$A282='2024_Draft_team'!$B$2:$B$271),0))</f>
        <v>N/A</v>
      </c>
      <c r="Q282" s="20"/>
    </row>
    <row r="283" ht="14.25" customHeight="1">
      <c r="A283" s="3" t="s">
        <v>6</v>
      </c>
      <c r="B283" s="3" t="s">
        <v>59</v>
      </c>
      <c r="C283" s="3" t="s">
        <v>52</v>
      </c>
      <c r="D283" s="3" t="s">
        <v>532</v>
      </c>
      <c r="E283" s="3" t="s">
        <v>59</v>
      </c>
      <c r="F283" s="3" t="s">
        <v>32</v>
      </c>
      <c r="G283" s="3" t="s">
        <v>136</v>
      </c>
      <c r="H283" s="3"/>
      <c r="I283" s="3" t="str">
        <f>'2024_Roster_Offseason'!$C283&amp;'2024_Roster_Offseason'!$D283</f>
        <v>QuentinLake</v>
      </c>
      <c r="J283" s="10">
        <v>0.6</v>
      </c>
      <c r="K283" s="10">
        <v>0.46</v>
      </c>
      <c r="L283" s="3">
        <v>0.0</v>
      </c>
      <c r="M283" s="3">
        <v>19.12</v>
      </c>
      <c r="N283" s="3">
        <v>0.0</v>
      </c>
      <c r="O283" s="3" t="str">
        <f t="array" ref="O283">INDEX('2024_Transactions'!$J$2:$J$339,MATCH(1,('2024_Transactions'!$C$2:$C$339='2024_Roster_Offseason'!$I283)*('2024_Roster_Offseason'!$A283='2024_Transactions'!$B$2:$B$339),0))</f>
        <v>Signed</v>
      </c>
      <c r="P283" s="13">
        <f t="array" ref="P283">IFERROR(INDEX('2024_Draft_team'!$J$2:$J$271,MATCH(1,('2024_Roster_Offseason'!$I283='2024_Draft_team'!$Q$2:$Q$271)*('2024_Roster_Offseason'!$A283='2024_Draft_team'!$B$2:$B$271),0)),15)</f>
        <v>15</v>
      </c>
      <c r="Q283" s="19"/>
    </row>
    <row r="284" ht="14.25" customHeight="1">
      <c r="A284" s="2" t="s">
        <v>6</v>
      </c>
      <c r="B284" s="2" t="s">
        <v>59</v>
      </c>
      <c r="C284" s="2" t="s">
        <v>160</v>
      </c>
      <c r="D284" s="2" t="s">
        <v>533</v>
      </c>
      <c r="E284" s="2" t="s">
        <v>59</v>
      </c>
      <c r="F284" s="2" t="s">
        <v>32</v>
      </c>
      <c r="G284" s="2" t="s">
        <v>170</v>
      </c>
      <c r="H284" s="2"/>
      <c r="I284" s="2" t="str">
        <f>'2024_Roster_Offseason'!$C284&amp;'2024_Roster_Offseason'!$D284</f>
        <v>PatrickQueen</v>
      </c>
      <c r="J284" s="7">
        <v>0.5</v>
      </c>
      <c r="K284" s="7">
        <v>0.37</v>
      </c>
      <c r="L284" s="2">
        <v>0.0</v>
      </c>
      <c r="M284" s="2">
        <v>18.76</v>
      </c>
      <c r="N284" s="2">
        <v>0.0</v>
      </c>
      <c r="O284" s="2" t="str">
        <f t="array" ref="O284">INDEX('2024_Transactions'!$J$2:$J$339,MATCH(1,('2024_Transactions'!$C$2:$C$339='2024_Roster_Offseason'!$I284)*('2024_Roster_Offseason'!$A284='2024_Transactions'!$B$2:$B$339),0))</f>
        <v>#N/A</v>
      </c>
      <c r="P284" s="8">
        <f t="array" ref="P284">INDEX('2024_Draft_team'!$J$2:$J$271,MATCH(1,('2024_Roster_Offseason'!$I284='2024_Draft_team'!$Q$2:$Q$271)*('2024_Roster_Offseason'!$A284='2024_Draft_team'!$B$2:$B$271),0))</f>
        <v>2</v>
      </c>
      <c r="Q284" s="16"/>
    </row>
    <row r="285" ht="14.25" customHeight="1">
      <c r="A285" s="3" t="s">
        <v>6</v>
      </c>
      <c r="B285" s="3" t="s">
        <v>59</v>
      </c>
      <c r="C285" s="3" t="s">
        <v>243</v>
      </c>
      <c r="D285" s="3" t="s">
        <v>534</v>
      </c>
      <c r="E285" s="3" t="s">
        <v>59</v>
      </c>
      <c r="F285" s="3" t="s">
        <v>32</v>
      </c>
      <c r="G285" s="3" t="s">
        <v>98</v>
      </c>
      <c r="H285" s="3"/>
      <c r="I285" s="3" t="str">
        <f>'2024_Roster_Offseason'!$C285&amp;'2024_Roster_Offseason'!$D285</f>
        <v>BobbyWagner</v>
      </c>
      <c r="J285" s="10">
        <v>0.76</v>
      </c>
      <c r="K285" s="10">
        <v>0.5</v>
      </c>
      <c r="L285" s="3">
        <v>0.0</v>
      </c>
      <c r="M285" s="3">
        <v>23.12</v>
      </c>
      <c r="N285" s="3">
        <v>0.0</v>
      </c>
      <c r="O285" s="3" t="str">
        <f t="array" ref="O285">INDEX('2024_Transactions'!$J$2:$J$339,MATCH(1,('2024_Transactions'!$C$2:$C$339='2024_Roster_Offseason'!$I285)*('2024_Roster_Offseason'!$A285='2024_Transactions'!$B$2:$B$339),0))</f>
        <v>#N/A</v>
      </c>
      <c r="P285" s="11" t="str">
        <f t="array" ref="P285">INDEX('2024_Draft_team'!$J$2:$J$271,MATCH(1,('2024_Roster_Offseason'!$I285='2024_Draft_team'!$Q$2:$Q$271)*('2024_Roster_Offseason'!$A285='2024_Draft_team'!$B$2:$B$271),0))</f>
        <v>N/A</v>
      </c>
      <c r="Q285" s="19"/>
    </row>
    <row r="286" ht="14.25" customHeight="1">
      <c r="A286" s="2" t="s">
        <v>6</v>
      </c>
      <c r="B286" s="2" t="s">
        <v>29</v>
      </c>
      <c r="C286" s="2" t="s">
        <v>323</v>
      </c>
      <c r="D286" s="2" t="s">
        <v>535</v>
      </c>
      <c r="E286" s="2" t="s">
        <v>131</v>
      </c>
      <c r="F286" s="2" t="s">
        <v>29</v>
      </c>
      <c r="G286" s="2" t="s">
        <v>32</v>
      </c>
      <c r="H286" s="2" t="s">
        <v>63</v>
      </c>
      <c r="I286" s="2" t="str">
        <f>'2024_Roster_Offseason'!$C286&amp;'2024_Roster_Offseason'!$D286&amp;'2024_Roster_Offseason'!$E286</f>
        <v>MichaelPenixJr.</v>
      </c>
      <c r="J286" s="7">
        <v>0.42</v>
      </c>
      <c r="K286" s="7">
        <v>0.14</v>
      </c>
      <c r="L286" s="2">
        <v>0.0</v>
      </c>
      <c r="M286" s="2">
        <v>19.0</v>
      </c>
      <c r="N286" s="2">
        <v>0.0</v>
      </c>
      <c r="O286" s="2" t="str">
        <f t="array" ref="O286">INDEX('2024_Transactions'!$J$2:$J$339,MATCH(1,('2024_Transactions'!$C$2:$C$339='2024_Roster_Offseason'!$I286)*('2024_Roster_Offseason'!$A286='2024_Transactions'!$B$2:$B$339),0))</f>
        <v>Signed</v>
      </c>
      <c r="P286" s="14">
        <f t="array" ref="P286">IFERROR(INDEX('2024_Draft_team'!$J$2:$J$271,MATCH(1,('2024_Roster_Offseason'!$I286='2024_Draft_team'!$Q$2:$Q$271)*('2024_Roster_Offseason'!$A286='2024_Draft_team'!$B$2:$B$271),0)),15)</f>
        <v>15</v>
      </c>
      <c r="Q286" s="16" t="s">
        <v>38</v>
      </c>
    </row>
    <row r="287" ht="14.25" customHeight="1">
      <c r="A287" s="3" t="s">
        <v>6</v>
      </c>
      <c r="B287" s="3" t="s">
        <v>39</v>
      </c>
      <c r="C287" s="3" t="s">
        <v>536</v>
      </c>
      <c r="D287" s="3" t="s">
        <v>94</v>
      </c>
      <c r="E287" s="3" t="s">
        <v>39</v>
      </c>
      <c r="F287" s="3" t="s">
        <v>32</v>
      </c>
      <c r="G287" s="3" t="s">
        <v>49</v>
      </c>
      <c r="H287" s="3"/>
      <c r="I287" s="3" t="str">
        <f>'2024_Roster_Offseason'!$C287&amp;'2024_Roster_Offseason'!$D287</f>
        <v>BraelonAllen</v>
      </c>
      <c r="J287" s="10">
        <v>0.61</v>
      </c>
      <c r="K287" s="10">
        <v>0.12</v>
      </c>
      <c r="L287" s="3">
        <v>0.0</v>
      </c>
      <c r="M287" s="3">
        <v>6.47</v>
      </c>
      <c r="N287" s="3">
        <v>0.0</v>
      </c>
      <c r="O287" s="3" t="str">
        <f t="array" ref="O287">INDEX('2024_Transactions'!$J$2:$J$339,MATCH(1,('2024_Transactions'!$C$2:$C$339='2024_Roster_Offseason'!$I287)*('2024_Roster_Offseason'!$A287='2024_Transactions'!$B$2:$B$339),0))</f>
        <v>#N/A</v>
      </c>
      <c r="P287" s="11">
        <f t="array" ref="P287">INDEX('2024_Draft_team'!$J$2:$J$271,MATCH(1,('2024_Roster_Offseason'!$I287='2024_Draft_team'!$Q$2:$Q$271)*('2024_Roster_Offseason'!$A287='2024_Draft_team'!$B$2:$B$271),0))</f>
        <v>23</v>
      </c>
      <c r="Q287" s="15" t="s">
        <v>38</v>
      </c>
    </row>
    <row r="288" ht="14.25" customHeight="1">
      <c r="A288" s="2" t="s">
        <v>6</v>
      </c>
      <c r="B288" s="2" t="s">
        <v>39</v>
      </c>
      <c r="C288" s="2" t="s">
        <v>446</v>
      </c>
      <c r="D288" s="2" t="s">
        <v>537</v>
      </c>
      <c r="E288" s="2" t="s">
        <v>39</v>
      </c>
      <c r="F288" s="2" t="s">
        <v>32</v>
      </c>
      <c r="G288" s="2" t="s">
        <v>148</v>
      </c>
      <c r="H288" s="2"/>
      <c r="I288" s="2" t="str">
        <f>'2024_Roster_Offseason'!$C288&amp;'2024_Roster_Offseason'!$D288</f>
        <v>TankBigsby</v>
      </c>
      <c r="J288" s="7">
        <v>0.75</v>
      </c>
      <c r="K288" s="7">
        <v>0.22</v>
      </c>
      <c r="L288" s="2">
        <v>0.0</v>
      </c>
      <c r="M288" s="2">
        <v>13.62</v>
      </c>
      <c r="N288" s="2">
        <v>0.0</v>
      </c>
      <c r="O288" s="2" t="str">
        <f t="array" ref="O288">INDEX('2024_Transactions'!$J$2:$J$339,MATCH(1,('2024_Transactions'!$C$2:$C$339='2024_Roster_Offseason'!$I288)*('2024_Roster_Offseason'!$A288='2024_Transactions'!$B$2:$B$339),0))</f>
        <v>Signed</v>
      </c>
      <c r="P288" s="14">
        <f t="array" ref="P288">IFERROR(INDEX('2024_Draft_team'!$J$2:$J$271,MATCH(1,('2024_Roster_Offseason'!$I288='2024_Draft_team'!$Q$2:$Q$271)*('2024_Roster_Offseason'!$A288='2024_Draft_team'!$B$2:$B$271),0)),15)</f>
        <v>15</v>
      </c>
      <c r="Q288" s="20"/>
    </row>
    <row r="289" ht="14.25" customHeight="1">
      <c r="A289" s="3" t="s">
        <v>6</v>
      </c>
      <c r="B289" s="3" t="s">
        <v>39</v>
      </c>
      <c r="C289" s="3" t="s">
        <v>254</v>
      </c>
      <c r="D289" s="3" t="s">
        <v>538</v>
      </c>
      <c r="E289" s="3" t="s">
        <v>39</v>
      </c>
      <c r="F289" s="3" t="s">
        <v>32</v>
      </c>
      <c r="G289" s="3" t="s">
        <v>148</v>
      </c>
      <c r="H289" s="3"/>
      <c r="I289" s="3" t="str">
        <f>'2024_Roster_Offseason'!$C289&amp;'2024_Roster_Offseason'!$D289</f>
        <v>TravisEtienne</v>
      </c>
      <c r="J289" s="10">
        <v>0.93</v>
      </c>
      <c r="K289" s="10">
        <v>0.4</v>
      </c>
      <c r="L289" s="3">
        <v>0.0</v>
      </c>
      <c r="M289" s="3">
        <v>12.13</v>
      </c>
      <c r="N289" s="3">
        <v>0.0</v>
      </c>
      <c r="O289" s="3" t="str">
        <f t="array" ref="O289">INDEX('2024_Transactions'!$J$2:$J$339,MATCH(1,('2024_Transactions'!$C$2:$C$339='2024_Roster_Offseason'!$I289)*('2024_Roster_Offseason'!$A289='2024_Transactions'!$B$2:$B$339),0))</f>
        <v>#N/A</v>
      </c>
      <c r="P289" s="11">
        <f t="array" ref="P289">INDEX('2024_Draft_team'!$J$2:$J$271,MATCH(1,('2024_Roster_Offseason'!$I289='2024_Draft_team'!$Q$2:$Q$271)*('2024_Roster_Offseason'!$A289='2024_Draft_team'!$B$2:$B$271),0))</f>
        <v>4</v>
      </c>
      <c r="Q289" s="15"/>
    </row>
    <row r="290" ht="14.25" customHeight="1">
      <c r="A290" s="2" t="s">
        <v>6</v>
      </c>
      <c r="B290" s="2" t="s">
        <v>46</v>
      </c>
      <c r="C290" s="2" t="s">
        <v>382</v>
      </c>
      <c r="D290" s="2" t="s">
        <v>539</v>
      </c>
      <c r="E290" s="2" t="s">
        <v>46</v>
      </c>
      <c r="F290" s="2" t="s">
        <v>32</v>
      </c>
      <c r="G290" s="2" t="s">
        <v>170</v>
      </c>
      <c r="H290" s="2"/>
      <c r="I290" s="2" t="str">
        <f>'2024_Roster_Offseason'!$C290&amp;'2024_Roster_Offseason'!$D290</f>
        <v>GeorgePickens</v>
      </c>
      <c r="J290" s="7">
        <v>0.97</v>
      </c>
      <c r="K290" s="7">
        <v>0.29</v>
      </c>
      <c r="L290" s="2">
        <v>0.0</v>
      </c>
      <c r="M290" s="2">
        <v>21.14</v>
      </c>
      <c r="N290" s="2">
        <v>0.0</v>
      </c>
      <c r="O290" s="2" t="str">
        <f t="array" ref="O290">INDEX('2024_Transactions'!$J$2:$J$339,MATCH(1,('2024_Transactions'!$C$2:$C$339='2024_Roster_Offseason'!$I290)*('2024_Roster_Offseason'!$A290='2024_Transactions'!$B$2:$B$339),0))</f>
        <v>#N/A</v>
      </c>
      <c r="P290" s="8">
        <f t="array" ref="P290">INDEX('2024_Draft_team'!$J$2:$J$271,MATCH(1,('2024_Roster_Offseason'!$I290='2024_Draft_team'!$Q$2:$Q$271)*('2024_Roster_Offseason'!$A290='2024_Draft_team'!$B$2:$B$271),0))</f>
        <v>7</v>
      </c>
      <c r="Q290" s="16" t="s">
        <v>38</v>
      </c>
    </row>
    <row r="291" ht="14.25" customHeight="1">
      <c r="A291" s="3" t="s">
        <v>6</v>
      </c>
      <c r="B291" s="3" t="s">
        <v>59</v>
      </c>
      <c r="C291" s="3" t="s">
        <v>540</v>
      </c>
      <c r="D291" s="3" t="s">
        <v>541</v>
      </c>
      <c r="E291" s="3" t="s">
        <v>59</v>
      </c>
      <c r="F291" s="3" t="s">
        <v>32</v>
      </c>
      <c r="G291" s="3" t="s">
        <v>103</v>
      </c>
      <c r="H291" s="3"/>
      <c r="I291" s="3" t="str">
        <f>'2024_Roster_Offseason'!$C291&amp;'2024_Roster_Offseason'!$D291</f>
        <v>NikBonitto</v>
      </c>
      <c r="J291" s="10">
        <v>0.41</v>
      </c>
      <c r="K291" s="10">
        <v>0.3</v>
      </c>
      <c r="L291" s="3">
        <v>0.0</v>
      </c>
      <c r="M291" s="3">
        <v>19.76</v>
      </c>
      <c r="N291" s="3">
        <v>0.0</v>
      </c>
      <c r="O291" s="3" t="str">
        <f t="array" ref="O291">INDEX('2024_Transactions'!$J$2:$J$339,MATCH(1,('2024_Transactions'!$C$2:$C$339='2024_Roster_Offseason'!$I291)*('2024_Roster_Offseason'!$A291='2024_Transactions'!$B$2:$B$339),0))</f>
        <v>Signed</v>
      </c>
      <c r="P291" s="13">
        <f t="array" ref="P291">IFERROR(INDEX('2024_Draft_team'!$J$2:$J$271,MATCH(1,('2024_Roster_Offseason'!$I291='2024_Draft_team'!$Q$2:$Q$271)*('2024_Roster_Offseason'!$A291='2024_Draft_team'!$B$2:$B$271),0)),15)</f>
        <v>15</v>
      </c>
      <c r="Q291" s="19"/>
    </row>
    <row r="292" ht="14.25" customHeight="1">
      <c r="A292" s="2" t="s">
        <v>6</v>
      </c>
      <c r="B292" s="2" t="s">
        <v>59</v>
      </c>
      <c r="C292" s="2" t="s">
        <v>542</v>
      </c>
      <c r="D292" s="2" t="s">
        <v>433</v>
      </c>
      <c r="E292" s="2" t="s">
        <v>59</v>
      </c>
      <c r="F292" s="2" t="s">
        <v>32</v>
      </c>
      <c r="G292" s="2" t="s">
        <v>238</v>
      </c>
      <c r="H292" s="2"/>
      <c r="I292" s="2" t="str">
        <f>'2024_Roster_Offseason'!$C292&amp;'2024_Roster_Offseason'!$D292</f>
        <v>JamelDean</v>
      </c>
      <c r="J292" s="7">
        <v>0.24</v>
      </c>
      <c r="K292" s="7">
        <v>0.16</v>
      </c>
      <c r="L292" s="2">
        <v>0.0</v>
      </c>
      <c r="M292" s="2">
        <v>15.92</v>
      </c>
      <c r="N292" s="2">
        <v>0.0</v>
      </c>
      <c r="O292" s="2" t="str">
        <f t="array" ref="O292">INDEX('2024_Transactions'!$J$2:$J$339,MATCH(1,('2024_Transactions'!$C$2:$C$339='2024_Roster_Offseason'!$I292)*('2024_Roster_Offseason'!$A292='2024_Transactions'!$B$2:$B$339),0))</f>
        <v>Signed</v>
      </c>
      <c r="P292" s="14">
        <f t="array" ref="P292">IFERROR(INDEX('2024_Draft_team'!$J$2:$J$271,MATCH(1,('2024_Roster_Offseason'!$I292='2024_Draft_team'!$Q$2:$Q$271)*('2024_Roster_Offseason'!$A292='2024_Draft_team'!$B$2:$B$271),0)),15)</f>
        <v>15</v>
      </c>
      <c r="Q292" s="20"/>
    </row>
    <row r="293" ht="14.25" customHeight="1">
      <c r="A293" s="3" t="s">
        <v>6</v>
      </c>
      <c r="B293" s="3" t="s">
        <v>59</v>
      </c>
      <c r="C293" s="3" t="s">
        <v>543</v>
      </c>
      <c r="D293" s="3" t="s">
        <v>544</v>
      </c>
      <c r="E293" s="3" t="s">
        <v>59</v>
      </c>
      <c r="F293" s="3" t="s">
        <v>32</v>
      </c>
      <c r="G293" s="3" t="s">
        <v>98</v>
      </c>
      <c r="H293" s="3"/>
      <c r="I293" s="3" t="str">
        <f>'2024_Roster_Offseason'!$C293&amp;'2024_Roster_Offseason'!$D293</f>
        <v>JartaviusMartin</v>
      </c>
      <c r="J293" s="10">
        <v>0.03</v>
      </c>
      <c r="K293" s="10">
        <v>0.01</v>
      </c>
      <c r="L293" s="3">
        <v>0.0</v>
      </c>
      <c r="M293" s="3">
        <v>16.75</v>
      </c>
      <c r="N293" s="3">
        <v>0.0</v>
      </c>
      <c r="O293" s="3" t="str">
        <f t="array" ref="O293">INDEX('2024_Transactions'!$J$2:$J$339,MATCH(1,('2024_Transactions'!$C$2:$C$339='2024_Roster_Offseason'!$I293)*('2024_Roster_Offseason'!$A293='2024_Transactions'!$B$2:$B$339),0))</f>
        <v>Signed</v>
      </c>
      <c r="P293" s="13">
        <f t="array" ref="P293">IFERROR(INDEX('2024_Draft_team'!$J$2:$J$271,MATCH(1,('2024_Roster_Offseason'!$I293='2024_Draft_team'!$Q$2:$Q$271)*('2024_Roster_Offseason'!$A293='2024_Draft_team'!$B$2:$B$271),0)),15)</f>
        <v>15</v>
      </c>
      <c r="Q293" s="19"/>
    </row>
    <row r="294" ht="14.25" customHeight="1">
      <c r="A294" s="2" t="s">
        <v>6</v>
      </c>
      <c r="B294" s="2" t="s">
        <v>59</v>
      </c>
      <c r="C294" s="2" t="s">
        <v>280</v>
      </c>
      <c r="D294" s="2" t="s">
        <v>545</v>
      </c>
      <c r="E294" s="2" t="s">
        <v>59</v>
      </c>
      <c r="F294" s="2" t="s">
        <v>32</v>
      </c>
      <c r="G294" s="2" t="s">
        <v>82</v>
      </c>
      <c r="H294" s="2"/>
      <c r="I294" s="2" t="str">
        <f>'2024_Roster_Offseason'!$C294&amp;'2024_Roster_Offseason'!$D294</f>
        <v>TylerNubin</v>
      </c>
      <c r="J294" s="7">
        <v>0.34</v>
      </c>
      <c r="K294" s="7">
        <v>0.13</v>
      </c>
      <c r="L294" s="2">
        <v>0.0</v>
      </c>
      <c r="M294" s="2">
        <v>17.31</v>
      </c>
      <c r="N294" s="2">
        <v>0.0</v>
      </c>
      <c r="O294" s="2" t="str">
        <f t="array" ref="O294">INDEX('2024_Transactions'!$J$2:$J$339,MATCH(1,('2024_Transactions'!$C$2:$C$339='2024_Roster_Offseason'!$I294)*('2024_Roster_Offseason'!$A294='2024_Transactions'!$B$2:$B$339),0))</f>
        <v>Signed</v>
      </c>
      <c r="P294" s="14">
        <f t="array" ref="P294">IFERROR(INDEX('2024_Draft_team'!$J$2:$J$271,MATCH(1,('2024_Roster_Offseason'!$I294='2024_Draft_team'!$Q$2:$Q$271)*('2024_Roster_Offseason'!$A294='2024_Draft_team'!$B$2:$B$271),0)),15)</f>
        <v>15</v>
      </c>
      <c r="Q294" s="20"/>
    </row>
    <row r="295" ht="14.25" customHeight="1">
      <c r="A295" s="3" t="s">
        <v>6</v>
      </c>
      <c r="B295" s="3" t="s">
        <v>59</v>
      </c>
      <c r="C295" s="3" t="s">
        <v>546</v>
      </c>
      <c r="D295" s="3" t="s">
        <v>547</v>
      </c>
      <c r="E295" s="3" t="s">
        <v>59</v>
      </c>
      <c r="F295" s="3" t="s">
        <v>32</v>
      </c>
      <c r="G295" s="3" t="s">
        <v>54</v>
      </c>
      <c r="H295" s="3"/>
      <c r="I295" s="3" t="str">
        <f>'2024_Roster_Offseason'!$C295&amp;'2024_Roster_Offseason'!$D295</f>
        <v>DenzelPerryman</v>
      </c>
      <c r="J295" s="10">
        <v>0.09</v>
      </c>
      <c r="K295" s="10">
        <v>0.02</v>
      </c>
      <c r="L295" s="3">
        <v>0.0</v>
      </c>
      <c r="M295" s="3">
        <v>13.55</v>
      </c>
      <c r="N295" s="3">
        <v>0.0</v>
      </c>
      <c r="O295" s="3" t="str">
        <f t="array" ref="O295">INDEX('2024_Transactions'!$J$2:$J$339,MATCH(1,('2024_Transactions'!$C$2:$C$339='2024_Roster_Offseason'!$I295)*('2024_Roster_Offseason'!$A295='2024_Transactions'!$B$2:$B$339),0))</f>
        <v>Signed</v>
      </c>
      <c r="P295" s="13">
        <f t="array" ref="P295">IFERROR(INDEX('2024_Draft_team'!$J$2:$J$271,MATCH(1,('2024_Roster_Offseason'!$I295='2024_Draft_team'!$Q$2:$Q$271)*('2024_Roster_Offseason'!$A295='2024_Draft_team'!$B$2:$B$271),0)),15)</f>
        <v>15</v>
      </c>
      <c r="Q295" s="19"/>
    </row>
    <row r="296" ht="14.25" customHeight="1">
      <c r="A296" s="2" t="s">
        <v>6</v>
      </c>
      <c r="B296" s="2" t="s">
        <v>59</v>
      </c>
      <c r="C296" s="2" t="s">
        <v>548</v>
      </c>
      <c r="D296" s="2" t="s">
        <v>549</v>
      </c>
      <c r="E296" s="2" t="s">
        <v>59</v>
      </c>
      <c r="F296" s="2" t="s">
        <v>32</v>
      </c>
      <c r="G296" s="2" t="s">
        <v>49</v>
      </c>
      <c r="H296" s="2"/>
      <c r="I296" s="2" t="str">
        <f>'2024_Roster_Offseason'!$C296&amp;'2024_Roster_Offseason'!$D296</f>
        <v>HaasonReddick</v>
      </c>
      <c r="J296" s="7">
        <v>0.11</v>
      </c>
      <c r="K296" s="7">
        <v>0.04</v>
      </c>
      <c r="L296" s="2">
        <v>0.0</v>
      </c>
      <c r="M296" s="2">
        <v>4.9</v>
      </c>
      <c r="N296" s="2">
        <v>0.0</v>
      </c>
      <c r="O296" s="2" t="str">
        <f t="array" ref="O296">INDEX('2024_Transactions'!$J$2:$J$339,MATCH(1,('2024_Transactions'!$C$2:$C$339='2024_Roster_Offseason'!$I296)*('2024_Roster_Offseason'!$A296='2024_Transactions'!$B$2:$B$339),0))</f>
        <v>#N/A</v>
      </c>
      <c r="P296" s="8">
        <f t="array" ref="P296">INDEX('2024_Draft_team'!$J$2:$J$271,MATCH(1,('2024_Roster_Offseason'!$I296='2024_Draft_team'!$Q$2:$Q$271)*('2024_Roster_Offseason'!$A296='2024_Draft_team'!$B$2:$B$271),0))</f>
        <v>26</v>
      </c>
      <c r="Q296" s="16" t="s">
        <v>38</v>
      </c>
    </row>
    <row r="297" ht="14.25" customHeight="1">
      <c r="A297" s="3" t="s">
        <v>6</v>
      </c>
      <c r="B297" s="3" t="s">
        <v>59</v>
      </c>
      <c r="C297" s="3" t="s">
        <v>253</v>
      </c>
      <c r="D297" s="3" t="s">
        <v>187</v>
      </c>
      <c r="E297" s="3" t="s">
        <v>59</v>
      </c>
      <c r="F297" s="3" t="s">
        <v>32</v>
      </c>
      <c r="G297" s="3" t="s">
        <v>79</v>
      </c>
      <c r="H297" s="3"/>
      <c r="I297" s="3" t="str">
        <f>'2024_Roster_Offseason'!$C297&amp;'2024_Roster_Offseason'!$D297</f>
        <v>HarrisonSmith</v>
      </c>
      <c r="J297" s="10">
        <v>0.34</v>
      </c>
      <c r="K297" s="10">
        <v>0.21</v>
      </c>
      <c r="L297" s="3">
        <v>0.0</v>
      </c>
      <c r="M297" s="3">
        <v>18.69</v>
      </c>
      <c r="N297" s="3">
        <v>0.0</v>
      </c>
      <c r="O297" s="3" t="str">
        <f t="array" ref="O297">INDEX('2024_Transactions'!$J$2:$J$339,MATCH(1,('2024_Transactions'!$C$2:$C$339='2024_Roster_Offseason'!$I297)*('2024_Roster_Offseason'!$A297='2024_Transactions'!$B$2:$B$339),0))</f>
        <v>Signed</v>
      </c>
      <c r="P297" s="13">
        <f t="array" ref="P297">IFERROR(INDEX('2024_Draft_team'!$J$2:$J$271,MATCH(1,('2024_Roster_Offseason'!$I297='2024_Draft_team'!$Q$2:$Q$271)*('2024_Roster_Offseason'!$A297='2024_Draft_team'!$B$2:$B$271),0)),15)</f>
        <v>15</v>
      </c>
      <c r="Q297" s="19"/>
    </row>
    <row r="298" ht="14.25" customHeight="1">
      <c r="A298" s="2" t="s">
        <v>6</v>
      </c>
      <c r="B298" s="2" t="s">
        <v>29</v>
      </c>
      <c r="C298" s="2" t="s">
        <v>550</v>
      </c>
      <c r="D298" s="2" t="s">
        <v>551</v>
      </c>
      <c r="E298" s="2" t="s">
        <v>29</v>
      </c>
      <c r="F298" s="2" t="s">
        <v>32</v>
      </c>
      <c r="G298" s="2" t="s">
        <v>79</v>
      </c>
      <c r="H298" s="2"/>
      <c r="I298" s="2" t="str">
        <f>'2024_Roster_Offseason'!$C298&amp;'2024_Roster_Offseason'!$D298</f>
        <v>J.J.McCarthy</v>
      </c>
      <c r="J298" s="7">
        <v>0.07</v>
      </c>
      <c r="K298" s="7">
        <v>0.01</v>
      </c>
      <c r="L298" s="2">
        <v>0.0</v>
      </c>
      <c r="M298" s="2">
        <v>0.0</v>
      </c>
      <c r="N298" s="2">
        <v>0.0</v>
      </c>
      <c r="O298" s="2" t="str">
        <f t="array" ref="O298">INDEX('2024_Transactions'!$J$2:$J$339,MATCH(1,('2024_Transactions'!$C$2:$C$339='2024_Roster_Offseason'!$I298)*('2024_Roster_Offseason'!$A298='2024_Transactions'!$B$2:$B$339),0))</f>
        <v>#N/A</v>
      </c>
      <c r="P298" s="8">
        <f t="array" ref="P298">INDEX('2024_Draft_team'!$J$2:$J$271,MATCH(1,('2024_Roster_Offseason'!$I298='2024_Draft_team'!$Q$2:$Q$271)*('2024_Roster_Offseason'!$A298='2024_Draft_team'!$B$2:$B$271),0))</f>
        <v>20</v>
      </c>
      <c r="Q298" s="16" t="s">
        <v>38</v>
      </c>
    </row>
    <row r="299" ht="14.25" customHeight="1">
      <c r="A299" s="3" t="s">
        <v>6</v>
      </c>
      <c r="B299" s="3" t="s">
        <v>39</v>
      </c>
      <c r="C299" s="3" t="s">
        <v>552</v>
      </c>
      <c r="D299" s="3" t="s">
        <v>553</v>
      </c>
      <c r="E299" s="3" t="s">
        <v>39</v>
      </c>
      <c r="F299" s="3" t="s">
        <v>32</v>
      </c>
      <c r="G299" s="3" t="s">
        <v>54</v>
      </c>
      <c r="H299" s="3"/>
      <c r="I299" s="3" t="str">
        <f>'2024_Roster_Offseason'!$C299&amp;'2024_Roster_Offseason'!$D299</f>
        <v>J.K.Dobbins</v>
      </c>
      <c r="J299" s="10">
        <v>0.81</v>
      </c>
      <c r="K299" s="10">
        <v>0.21</v>
      </c>
      <c r="L299" s="3">
        <v>0.0</v>
      </c>
      <c r="M299" s="3">
        <v>24.0</v>
      </c>
      <c r="N299" s="3">
        <v>0.0</v>
      </c>
      <c r="O299" s="3" t="str">
        <f t="array" ref="O299">INDEX('2024_Transactions'!$J$2:$J$339,MATCH(1,('2024_Transactions'!$C$2:$C$339='2024_Roster_Offseason'!$I299)*('2024_Roster_Offseason'!$A299='2024_Transactions'!$B$2:$B$339),0))</f>
        <v>#N/A</v>
      </c>
      <c r="P299" s="11">
        <f t="array" ref="P299">INDEX('2024_Draft_team'!$J$2:$J$271,MATCH(1,('2024_Roster_Offseason'!$I299='2024_Draft_team'!$Q$2:$Q$271)*('2024_Roster_Offseason'!$A299='2024_Draft_team'!$B$2:$B$271),0))</f>
        <v>9</v>
      </c>
      <c r="Q299" s="19"/>
    </row>
    <row r="300" ht="14.25" customHeight="1">
      <c r="A300" s="2" t="s">
        <v>6</v>
      </c>
      <c r="B300" s="2" t="s">
        <v>59</v>
      </c>
      <c r="C300" s="2" t="s">
        <v>120</v>
      </c>
      <c r="D300" s="2" t="s">
        <v>554</v>
      </c>
      <c r="E300" s="2" t="s">
        <v>59</v>
      </c>
      <c r="F300" s="2" t="s">
        <v>32</v>
      </c>
      <c r="G300" s="2" t="s">
        <v>141</v>
      </c>
      <c r="H300" s="2"/>
      <c r="I300" s="2" t="str">
        <f>'2024_Roster_Offseason'!$C300&amp;'2024_Roster_Offseason'!$D300</f>
        <v>AlexAnzalone</v>
      </c>
      <c r="J300" s="7">
        <v>0.22</v>
      </c>
      <c r="K300" s="7">
        <v>0.03</v>
      </c>
      <c r="L300" s="2">
        <v>0.0</v>
      </c>
      <c r="M300" s="2">
        <v>22.4</v>
      </c>
      <c r="N300" s="2">
        <v>0.0</v>
      </c>
      <c r="O300" s="2" t="str">
        <f t="array" ref="O300">INDEX('2024_Transactions'!$J$2:$J$339,MATCH(1,('2024_Transactions'!$C$2:$C$339='2024_Roster_Offseason'!$I300)*('2024_Roster_Offseason'!$A300='2024_Transactions'!$B$2:$B$339),0))</f>
        <v>#N/A</v>
      </c>
      <c r="P300" s="8">
        <f t="array" ref="P300">INDEX('2024_Draft_team'!$J$2:$J$271,MATCH(1,('2024_Roster_Offseason'!$I300='2024_Draft_team'!$Q$2:$Q$271)*('2024_Roster_Offseason'!$A300='2024_Draft_team'!$B$2:$B$271),0))</f>
        <v>13</v>
      </c>
      <c r="Q300" s="16"/>
    </row>
    <row r="301" ht="14.25" customHeight="1">
      <c r="A301" s="3" t="s">
        <v>6</v>
      </c>
      <c r="B301" s="3" t="s">
        <v>59</v>
      </c>
      <c r="C301" s="3" t="s">
        <v>334</v>
      </c>
      <c r="D301" s="3" t="s">
        <v>555</v>
      </c>
      <c r="E301" s="3" t="s">
        <v>59</v>
      </c>
      <c r="F301" s="3" t="s">
        <v>32</v>
      </c>
      <c r="G301" s="3" t="s">
        <v>238</v>
      </c>
      <c r="H301" s="3"/>
      <c r="I301" s="3" t="str">
        <f>'2024_Roster_Offseason'!$C301&amp;'2024_Roster_Offseason'!$D301</f>
        <v>JordanWhitehead</v>
      </c>
      <c r="J301" s="10">
        <v>0.13</v>
      </c>
      <c r="K301" s="10">
        <v>0.01</v>
      </c>
      <c r="L301" s="3">
        <v>0.0</v>
      </c>
      <c r="M301" s="3">
        <v>15.58</v>
      </c>
      <c r="N301" s="3">
        <v>0.0</v>
      </c>
      <c r="O301" s="3" t="str">
        <f t="array" ref="O301">INDEX('2024_Transactions'!$J$2:$J$339,MATCH(1,('2024_Transactions'!$C$2:$C$339='2024_Roster_Offseason'!$I301)*('2024_Roster_Offseason'!$A301='2024_Transactions'!$B$2:$B$339),0))</f>
        <v>#N/A</v>
      </c>
      <c r="P301" s="11">
        <f t="array" ref="P301">INDEX('2024_Draft_team'!$J$2:$J$271,MATCH(1,('2024_Roster_Offseason'!$I301='2024_Draft_team'!$Q$2:$Q$271)*('2024_Roster_Offseason'!$A301='2024_Draft_team'!$B$2:$B$271),0))</f>
        <v>20</v>
      </c>
      <c r="Q301" s="19"/>
    </row>
    <row r="302" ht="14.25" customHeight="1">
      <c r="P302" s="21"/>
    </row>
    <row r="303" ht="14.25" customHeight="1">
      <c r="P303" s="21"/>
    </row>
    <row r="304" ht="14.25" customHeight="1">
      <c r="P304" s="21"/>
    </row>
    <row r="305" ht="14.25" customHeight="1">
      <c r="P305" s="21"/>
    </row>
    <row r="306" ht="14.25" customHeight="1">
      <c r="P306" s="21"/>
    </row>
    <row r="307" ht="14.25" customHeight="1">
      <c r="P307" s="21"/>
    </row>
    <row r="308" ht="14.25" customHeight="1">
      <c r="P308" s="21"/>
    </row>
    <row r="309" ht="14.25" customHeight="1">
      <c r="P309" s="21"/>
    </row>
    <row r="310" ht="14.25" customHeight="1">
      <c r="P310" s="21"/>
    </row>
    <row r="311" ht="14.25" customHeight="1">
      <c r="P311" s="21"/>
    </row>
    <row r="312" ht="14.25" customHeight="1">
      <c r="P312" s="21"/>
    </row>
    <row r="313" ht="14.25" customHeight="1">
      <c r="P313" s="21"/>
    </row>
    <row r="314" ht="14.25" customHeight="1">
      <c r="P314" s="21"/>
    </row>
    <row r="315" ht="14.25" customHeight="1">
      <c r="P315" s="21"/>
    </row>
    <row r="316" ht="14.25" customHeight="1">
      <c r="P316" s="21"/>
    </row>
    <row r="317" ht="14.25" customHeight="1">
      <c r="P317" s="21"/>
    </row>
    <row r="318" ht="14.25" customHeight="1">
      <c r="P318" s="21"/>
    </row>
    <row r="319" ht="14.25" customHeight="1">
      <c r="P319" s="21"/>
    </row>
    <row r="320" ht="14.25" customHeight="1">
      <c r="P320" s="21"/>
    </row>
    <row r="321" ht="14.25" customHeight="1">
      <c r="P321" s="21"/>
    </row>
    <row r="322" ht="14.25" customHeight="1">
      <c r="P322" s="21"/>
    </row>
    <row r="323" ht="14.25" customHeight="1">
      <c r="P323" s="21"/>
    </row>
    <row r="324" ht="14.25" customHeight="1">
      <c r="P324" s="21"/>
    </row>
    <row r="325" ht="14.25" customHeight="1">
      <c r="P325" s="21"/>
    </row>
    <row r="326" ht="14.25" customHeight="1">
      <c r="P326" s="21"/>
    </row>
    <row r="327" ht="14.25" customHeight="1">
      <c r="P327" s="21"/>
    </row>
    <row r="328" ht="14.25" customHeight="1">
      <c r="P328" s="21"/>
    </row>
    <row r="329" ht="14.25" customHeight="1">
      <c r="P329" s="21"/>
    </row>
    <row r="330" ht="14.25" customHeight="1">
      <c r="P330" s="21"/>
    </row>
    <row r="331" ht="14.25" customHeight="1">
      <c r="P331" s="21"/>
    </row>
    <row r="332" ht="14.25" customHeight="1">
      <c r="P332" s="21"/>
    </row>
    <row r="333" ht="14.25" customHeight="1">
      <c r="P333" s="21"/>
    </row>
    <row r="334" ht="14.25" customHeight="1">
      <c r="P334" s="21"/>
    </row>
    <row r="335" ht="14.25" customHeight="1">
      <c r="P335" s="21"/>
    </row>
    <row r="336" ht="14.25" customHeight="1">
      <c r="P336" s="21"/>
    </row>
    <row r="337" ht="14.25" customHeight="1">
      <c r="P337" s="21"/>
    </row>
    <row r="338" ht="14.25" customHeight="1">
      <c r="P338" s="21"/>
    </row>
    <row r="339" ht="14.25" customHeight="1">
      <c r="P339" s="21"/>
    </row>
    <row r="340" ht="14.25" customHeight="1">
      <c r="P340" s="21"/>
    </row>
    <row r="341" ht="14.25" customHeight="1">
      <c r="P341" s="21"/>
    </row>
    <row r="342" ht="14.25" customHeight="1">
      <c r="P342" s="21"/>
    </row>
    <row r="343" ht="14.25" customHeight="1">
      <c r="P343" s="21"/>
    </row>
    <row r="344" ht="14.25" customHeight="1">
      <c r="P344" s="21"/>
    </row>
    <row r="345" ht="14.25" customHeight="1">
      <c r="P345" s="21"/>
    </row>
    <row r="346" ht="14.25" customHeight="1">
      <c r="P346" s="21"/>
    </row>
    <row r="347" ht="14.25" customHeight="1">
      <c r="P347" s="21"/>
    </row>
    <row r="348" ht="14.25" customHeight="1">
      <c r="P348" s="21"/>
    </row>
    <row r="349" ht="14.25" customHeight="1">
      <c r="P349" s="21"/>
    </row>
    <row r="350" ht="14.25" customHeight="1">
      <c r="P350" s="21"/>
    </row>
    <row r="351" ht="14.25" customHeight="1">
      <c r="P351" s="21"/>
    </row>
    <row r="352" ht="14.25" customHeight="1">
      <c r="P352" s="21"/>
    </row>
    <row r="353" ht="14.25" customHeight="1">
      <c r="P353" s="21"/>
    </row>
    <row r="354" ht="14.25" customHeight="1">
      <c r="P354" s="21"/>
    </row>
    <row r="355" ht="14.25" customHeight="1">
      <c r="P355" s="21"/>
    </row>
    <row r="356" ht="14.25" customHeight="1">
      <c r="P356" s="21"/>
    </row>
    <row r="357" ht="14.25" customHeight="1">
      <c r="P357" s="21"/>
    </row>
    <row r="358" ht="14.25" customHeight="1">
      <c r="P358" s="21"/>
    </row>
    <row r="359" ht="14.25" customHeight="1">
      <c r="P359" s="21"/>
    </row>
    <row r="360" ht="14.25" customHeight="1">
      <c r="P360" s="21"/>
    </row>
    <row r="361" ht="14.25" customHeight="1">
      <c r="P361" s="21"/>
    </row>
    <row r="362" ht="14.25" customHeight="1">
      <c r="P362" s="21"/>
    </row>
    <row r="363" ht="14.25" customHeight="1">
      <c r="P363" s="21"/>
    </row>
    <row r="364" ht="14.25" customHeight="1">
      <c r="P364" s="21"/>
    </row>
    <row r="365" ht="14.25" customHeight="1">
      <c r="P365" s="21"/>
    </row>
    <row r="366" ht="14.25" customHeight="1">
      <c r="P366" s="21"/>
    </row>
    <row r="367" ht="14.25" customHeight="1">
      <c r="P367" s="21"/>
    </row>
    <row r="368" ht="14.25" customHeight="1">
      <c r="P368" s="21"/>
    </row>
    <row r="369" ht="14.25" customHeight="1">
      <c r="P369" s="21"/>
    </row>
    <row r="370" ht="14.25" customHeight="1">
      <c r="P370" s="21"/>
    </row>
    <row r="371" ht="14.25" customHeight="1">
      <c r="P371" s="21"/>
    </row>
    <row r="372" ht="14.25" customHeight="1">
      <c r="P372" s="21"/>
    </row>
    <row r="373" ht="14.25" customHeight="1">
      <c r="P373" s="21"/>
    </row>
    <row r="374" ht="14.25" customHeight="1">
      <c r="P374" s="21"/>
    </row>
    <row r="375" ht="14.25" customHeight="1">
      <c r="P375" s="21"/>
    </row>
    <row r="376" ht="14.25" customHeight="1">
      <c r="P376" s="21"/>
    </row>
    <row r="377" ht="14.25" customHeight="1">
      <c r="P377" s="21"/>
    </row>
    <row r="378" ht="14.25" customHeight="1">
      <c r="P378" s="21"/>
    </row>
    <row r="379" ht="14.25" customHeight="1">
      <c r="P379" s="21"/>
    </row>
    <row r="380" ht="14.25" customHeight="1">
      <c r="P380" s="21"/>
    </row>
    <row r="381" ht="14.25" customHeight="1">
      <c r="P381" s="21"/>
    </row>
    <row r="382" ht="14.25" customHeight="1">
      <c r="P382" s="21"/>
    </row>
    <row r="383" ht="14.25" customHeight="1">
      <c r="P383" s="21"/>
    </row>
    <row r="384" ht="14.25" customHeight="1">
      <c r="P384" s="21"/>
    </row>
    <row r="385" ht="14.25" customHeight="1">
      <c r="P385" s="21"/>
    </row>
    <row r="386" ht="14.25" customHeight="1">
      <c r="P386" s="21"/>
    </row>
    <row r="387" ht="14.25" customHeight="1">
      <c r="P387" s="21"/>
    </row>
    <row r="388" ht="14.25" customHeight="1">
      <c r="P388" s="21"/>
    </row>
    <row r="389" ht="14.25" customHeight="1">
      <c r="P389" s="21"/>
    </row>
    <row r="390" ht="14.25" customHeight="1">
      <c r="P390" s="21"/>
    </row>
    <row r="391" ht="14.25" customHeight="1">
      <c r="P391" s="21"/>
    </row>
    <row r="392" ht="14.25" customHeight="1">
      <c r="P392" s="21"/>
    </row>
    <row r="393" ht="14.25" customHeight="1">
      <c r="P393" s="21"/>
    </row>
    <row r="394" ht="14.25" customHeight="1">
      <c r="P394" s="21"/>
    </row>
    <row r="395" ht="14.25" customHeight="1">
      <c r="P395" s="21"/>
    </row>
    <row r="396" ht="14.25" customHeight="1">
      <c r="P396" s="21"/>
    </row>
    <row r="397" ht="14.25" customHeight="1">
      <c r="P397" s="21"/>
    </row>
    <row r="398" ht="14.25" customHeight="1">
      <c r="P398" s="21"/>
    </row>
    <row r="399" ht="14.25" customHeight="1">
      <c r="P399" s="21"/>
    </row>
    <row r="400" ht="14.25" customHeight="1">
      <c r="P400" s="21"/>
    </row>
    <row r="401" ht="14.25" customHeight="1">
      <c r="P401" s="21"/>
    </row>
    <row r="402" ht="14.25" customHeight="1">
      <c r="P402" s="21"/>
    </row>
    <row r="403" ht="14.25" customHeight="1">
      <c r="P403" s="21"/>
    </row>
    <row r="404" ht="14.25" customHeight="1">
      <c r="P404" s="21"/>
    </row>
    <row r="405" ht="14.25" customHeight="1">
      <c r="P405" s="21"/>
    </row>
    <row r="406" ht="14.25" customHeight="1">
      <c r="P406" s="21"/>
    </row>
    <row r="407" ht="14.25" customHeight="1">
      <c r="P407" s="21"/>
    </row>
    <row r="408" ht="14.25" customHeight="1">
      <c r="P408" s="21"/>
    </row>
    <row r="409" ht="14.25" customHeight="1">
      <c r="P409" s="21"/>
    </row>
    <row r="410" ht="14.25" customHeight="1">
      <c r="P410" s="21"/>
    </row>
    <row r="411" ht="14.25" customHeight="1">
      <c r="P411" s="21"/>
    </row>
    <row r="412" ht="14.25" customHeight="1">
      <c r="P412" s="21"/>
    </row>
    <row r="413" ht="14.25" customHeight="1">
      <c r="P413" s="21"/>
    </row>
    <row r="414" ht="14.25" customHeight="1">
      <c r="P414" s="21"/>
    </row>
    <row r="415" ht="14.25" customHeight="1">
      <c r="P415" s="21"/>
    </row>
    <row r="416" ht="14.25" customHeight="1">
      <c r="P416" s="21"/>
    </row>
    <row r="417" ht="14.25" customHeight="1">
      <c r="P417" s="21"/>
    </row>
    <row r="418" ht="14.25" customHeight="1">
      <c r="P418" s="21"/>
    </row>
    <row r="419" ht="14.25" customHeight="1">
      <c r="P419" s="21"/>
    </row>
    <row r="420" ht="14.25" customHeight="1">
      <c r="P420" s="21"/>
    </row>
    <row r="421" ht="14.25" customHeight="1">
      <c r="P421" s="21"/>
    </row>
    <row r="422" ht="14.25" customHeight="1">
      <c r="P422" s="21"/>
    </row>
    <row r="423" ht="14.25" customHeight="1">
      <c r="P423" s="21"/>
    </row>
    <row r="424" ht="14.25" customHeight="1">
      <c r="P424" s="21"/>
    </row>
    <row r="425" ht="14.25" customHeight="1">
      <c r="P425" s="21"/>
    </row>
    <row r="426" ht="14.25" customHeight="1">
      <c r="P426" s="21"/>
    </row>
    <row r="427" ht="14.25" customHeight="1">
      <c r="P427" s="21"/>
    </row>
    <row r="428" ht="14.25" customHeight="1">
      <c r="P428" s="21"/>
    </row>
    <row r="429" ht="14.25" customHeight="1">
      <c r="P429" s="21"/>
    </row>
    <row r="430" ht="14.25" customHeight="1">
      <c r="P430" s="21"/>
    </row>
    <row r="431" ht="14.25" customHeight="1">
      <c r="P431" s="21"/>
    </row>
    <row r="432" ht="14.25" customHeight="1">
      <c r="P432" s="21"/>
    </row>
    <row r="433" ht="14.25" customHeight="1">
      <c r="P433" s="21"/>
    </row>
    <row r="434" ht="14.25" customHeight="1">
      <c r="P434" s="21"/>
    </row>
    <row r="435" ht="14.25" customHeight="1">
      <c r="P435" s="21"/>
    </row>
    <row r="436" ht="14.25" customHeight="1">
      <c r="P436" s="21"/>
    </row>
    <row r="437" ht="14.25" customHeight="1">
      <c r="P437" s="21"/>
    </row>
    <row r="438" ht="14.25" customHeight="1">
      <c r="P438" s="21"/>
    </row>
    <row r="439" ht="14.25" customHeight="1">
      <c r="P439" s="21"/>
    </row>
    <row r="440" ht="14.25" customHeight="1">
      <c r="P440" s="21"/>
    </row>
    <row r="441" ht="14.25" customHeight="1">
      <c r="P441" s="21"/>
    </row>
    <row r="442" ht="14.25" customHeight="1">
      <c r="P442" s="21"/>
    </row>
    <row r="443" ht="14.25" customHeight="1">
      <c r="P443" s="21"/>
    </row>
    <row r="444" ht="14.25" customHeight="1">
      <c r="P444" s="21"/>
    </row>
    <row r="445" ht="14.25" customHeight="1">
      <c r="P445" s="21"/>
    </row>
    <row r="446" ht="14.25" customHeight="1">
      <c r="P446" s="21"/>
    </row>
    <row r="447" ht="14.25" customHeight="1">
      <c r="P447" s="21"/>
    </row>
    <row r="448" ht="14.25" customHeight="1">
      <c r="P448" s="21"/>
    </row>
    <row r="449" ht="14.25" customHeight="1">
      <c r="P449" s="21"/>
    </row>
    <row r="450" ht="14.25" customHeight="1">
      <c r="P450" s="21"/>
    </row>
    <row r="451" ht="14.25" customHeight="1">
      <c r="P451" s="21"/>
    </row>
    <row r="452" ht="14.25" customHeight="1">
      <c r="P452" s="21"/>
    </row>
    <row r="453" ht="14.25" customHeight="1">
      <c r="P453" s="21"/>
    </row>
    <row r="454" ht="14.25" customHeight="1">
      <c r="P454" s="21"/>
    </row>
    <row r="455" ht="14.25" customHeight="1">
      <c r="P455" s="21"/>
    </row>
    <row r="456" ht="14.25" customHeight="1">
      <c r="P456" s="21"/>
    </row>
    <row r="457" ht="14.25" customHeight="1">
      <c r="P457" s="21"/>
    </row>
    <row r="458" ht="14.25" customHeight="1">
      <c r="P458" s="21"/>
    </row>
    <row r="459" ht="14.25" customHeight="1">
      <c r="P459" s="21"/>
    </row>
    <row r="460" ht="14.25" customHeight="1">
      <c r="P460" s="21"/>
    </row>
    <row r="461" ht="14.25" customHeight="1">
      <c r="P461" s="21"/>
    </row>
    <row r="462" ht="14.25" customHeight="1">
      <c r="P462" s="21"/>
    </row>
    <row r="463" ht="14.25" customHeight="1">
      <c r="P463" s="21"/>
    </row>
    <row r="464" ht="14.25" customHeight="1">
      <c r="P464" s="21"/>
    </row>
    <row r="465" ht="14.25" customHeight="1">
      <c r="P465" s="21"/>
    </row>
    <row r="466" ht="14.25" customHeight="1">
      <c r="P466" s="21"/>
    </row>
    <row r="467" ht="14.25" customHeight="1">
      <c r="P467" s="21"/>
    </row>
    <row r="468" ht="14.25" customHeight="1">
      <c r="P468" s="21"/>
    </row>
    <row r="469" ht="14.25" customHeight="1">
      <c r="P469" s="21"/>
    </row>
    <row r="470" ht="14.25" customHeight="1">
      <c r="P470" s="21"/>
    </row>
    <row r="471" ht="14.25" customHeight="1">
      <c r="P471" s="21"/>
    </row>
    <row r="472" ht="14.25" customHeight="1">
      <c r="P472" s="21"/>
    </row>
    <row r="473" ht="14.25" customHeight="1">
      <c r="P473" s="21"/>
    </row>
    <row r="474" ht="14.25" customHeight="1">
      <c r="P474" s="21"/>
    </row>
    <row r="475" ht="14.25" customHeight="1">
      <c r="P475" s="21"/>
    </row>
    <row r="476" ht="14.25" customHeight="1">
      <c r="P476" s="21"/>
    </row>
    <row r="477" ht="14.25" customHeight="1">
      <c r="P477" s="21"/>
    </row>
    <row r="478" ht="14.25" customHeight="1">
      <c r="P478" s="21"/>
    </row>
    <row r="479" ht="14.25" customHeight="1">
      <c r="P479" s="21"/>
    </row>
    <row r="480" ht="14.25" customHeight="1">
      <c r="P480" s="21"/>
    </row>
    <row r="481" ht="14.25" customHeight="1">
      <c r="P481" s="21"/>
    </row>
    <row r="482" ht="14.25" customHeight="1">
      <c r="P482" s="21"/>
    </row>
    <row r="483" ht="14.25" customHeight="1">
      <c r="P483" s="21"/>
    </row>
    <row r="484" ht="14.25" customHeight="1">
      <c r="P484" s="21"/>
    </row>
    <row r="485" ht="14.25" customHeight="1">
      <c r="P485" s="21"/>
    </row>
    <row r="486" ht="14.25" customHeight="1">
      <c r="P486" s="21"/>
    </row>
    <row r="487" ht="14.25" customHeight="1">
      <c r="P487" s="21"/>
    </row>
    <row r="488" ht="14.25" customHeight="1">
      <c r="P488" s="21"/>
    </row>
    <row r="489" ht="14.25" customHeight="1">
      <c r="P489" s="21"/>
    </row>
    <row r="490" ht="14.25" customHeight="1">
      <c r="P490" s="21"/>
    </row>
    <row r="491" ht="14.25" customHeight="1">
      <c r="P491" s="21"/>
    </row>
    <row r="492" ht="14.25" customHeight="1">
      <c r="P492" s="21"/>
    </row>
    <row r="493" ht="14.25" customHeight="1">
      <c r="P493" s="21"/>
    </row>
    <row r="494" ht="14.25" customHeight="1">
      <c r="P494" s="21"/>
    </row>
    <row r="495" ht="14.25" customHeight="1">
      <c r="P495" s="21"/>
    </row>
    <row r="496" ht="14.25" customHeight="1">
      <c r="P496" s="21"/>
    </row>
    <row r="497" ht="14.25" customHeight="1">
      <c r="P497" s="21"/>
    </row>
    <row r="498" ht="14.25" customHeight="1">
      <c r="P498" s="21"/>
    </row>
    <row r="499" ht="14.25" customHeight="1">
      <c r="P499" s="21"/>
    </row>
    <row r="500" ht="14.25" customHeight="1">
      <c r="P500" s="21"/>
    </row>
    <row r="501" ht="14.25" customHeight="1">
      <c r="P501" s="21"/>
    </row>
    <row r="502" ht="14.25" customHeight="1">
      <c r="P502" s="21"/>
    </row>
    <row r="503" ht="14.25" customHeight="1">
      <c r="P503" s="21"/>
    </row>
    <row r="504" ht="14.25" customHeight="1">
      <c r="P504" s="21"/>
    </row>
    <row r="505" ht="14.25" customHeight="1">
      <c r="P505" s="21"/>
    </row>
    <row r="506" ht="14.25" customHeight="1">
      <c r="P506" s="21"/>
    </row>
    <row r="507" ht="14.25" customHeight="1">
      <c r="P507" s="21"/>
    </row>
    <row r="508" ht="14.25" customHeight="1">
      <c r="P508" s="21"/>
    </row>
    <row r="509" ht="14.25" customHeight="1">
      <c r="P509" s="21"/>
    </row>
    <row r="510" ht="14.25" customHeight="1">
      <c r="P510" s="21"/>
    </row>
    <row r="511" ht="14.25" customHeight="1">
      <c r="P511" s="21"/>
    </row>
    <row r="512" ht="14.25" customHeight="1">
      <c r="P512" s="21"/>
    </row>
    <row r="513" ht="14.25" customHeight="1">
      <c r="P513" s="21"/>
    </row>
    <row r="514" ht="14.25" customHeight="1">
      <c r="P514" s="21"/>
    </row>
    <row r="515" ht="14.25" customHeight="1">
      <c r="P515" s="21"/>
    </row>
    <row r="516" ht="14.25" customHeight="1">
      <c r="P516" s="21"/>
    </row>
    <row r="517" ht="14.25" customHeight="1">
      <c r="P517" s="21"/>
    </row>
    <row r="518" ht="14.25" customHeight="1">
      <c r="P518" s="21"/>
    </row>
    <row r="519" ht="14.25" customHeight="1">
      <c r="P519" s="21"/>
    </row>
    <row r="520" ht="14.25" customHeight="1">
      <c r="P520" s="21"/>
    </row>
    <row r="521" ht="14.25" customHeight="1">
      <c r="P521" s="21"/>
    </row>
    <row r="522" ht="14.25" customHeight="1">
      <c r="P522" s="21"/>
    </row>
    <row r="523" ht="14.25" customHeight="1">
      <c r="P523" s="21"/>
    </row>
    <row r="524" ht="14.25" customHeight="1">
      <c r="P524" s="21"/>
    </row>
    <row r="525" ht="14.25" customHeight="1">
      <c r="P525" s="21"/>
    </row>
    <row r="526" ht="14.25" customHeight="1">
      <c r="P526" s="21"/>
    </row>
    <row r="527" ht="14.25" customHeight="1">
      <c r="P527" s="21"/>
    </row>
    <row r="528" ht="14.25" customHeight="1">
      <c r="P528" s="21"/>
    </row>
    <row r="529" ht="14.25" customHeight="1">
      <c r="P529" s="21"/>
    </row>
    <row r="530" ht="14.25" customHeight="1">
      <c r="P530" s="21"/>
    </row>
    <row r="531" ht="14.25" customHeight="1">
      <c r="P531" s="21"/>
    </row>
    <row r="532" ht="14.25" customHeight="1">
      <c r="P532" s="21"/>
    </row>
    <row r="533" ht="14.25" customHeight="1">
      <c r="P533" s="21"/>
    </row>
    <row r="534" ht="14.25" customHeight="1">
      <c r="P534" s="21"/>
    </row>
    <row r="535" ht="14.25" customHeight="1">
      <c r="P535" s="21"/>
    </row>
    <row r="536" ht="14.25" customHeight="1">
      <c r="P536" s="21"/>
    </row>
    <row r="537" ht="14.25" customHeight="1">
      <c r="P537" s="21"/>
    </row>
    <row r="538" ht="14.25" customHeight="1">
      <c r="P538" s="21"/>
    </row>
    <row r="539" ht="14.25" customHeight="1">
      <c r="P539" s="21"/>
    </row>
    <row r="540" ht="14.25" customHeight="1">
      <c r="P540" s="21"/>
    </row>
    <row r="541" ht="14.25" customHeight="1">
      <c r="P541" s="21"/>
    </row>
    <row r="542" ht="14.25" customHeight="1">
      <c r="P542" s="21"/>
    </row>
    <row r="543" ht="14.25" customHeight="1">
      <c r="P543" s="21"/>
    </row>
    <row r="544" ht="14.25" customHeight="1">
      <c r="P544" s="21"/>
    </row>
    <row r="545" ht="14.25" customHeight="1">
      <c r="P545" s="21"/>
    </row>
    <row r="546" ht="14.25" customHeight="1">
      <c r="P546" s="21"/>
    </row>
    <row r="547" ht="14.25" customHeight="1">
      <c r="P547" s="21"/>
    </row>
    <row r="548" ht="14.25" customHeight="1">
      <c r="P548" s="21"/>
    </row>
    <row r="549" ht="14.25" customHeight="1">
      <c r="P549" s="21"/>
    </row>
    <row r="550" ht="14.25" customHeight="1">
      <c r="P550" s="21"/>
    </row>
    <row r="551" ht="14.25" customHeight="1">
      <c r="P551" s="21"/>
    </row>
    <row r="552" ht="14.25" customHeight="1">
      <c r="P552" s="21"/>
    </row>
    <row r="553" ht="14.25" customHeight="1">
      <c r="P553" s="21"/>
    </row>
    <row r="554" ht="14.25" customHeight="1">
      <c r="P554" s="21"/>
    </row>
    <row r="555" ht="14.25" customHeight="1">
      <c r="P555" s="21"/>
    </row>
    <row r="556" ht="14.25" customHeight="1">
      <c r="P556" s="21"/>
    </row>
    <row r="557" ht="14.25" customHeight="1">
      <c r="P557" s="21"/>
    </row>
    <row r="558" ht="14.25" customHeight="1">
      <c r="P558" s="21"/>
    </row>
    <row r="559" ht="14.25" customHeight="1">
      <c r="P559" s="21"/>
    </row>
    <row r="560" ht="14.25" customHeight="1">
      <c r="P560" s="21"/>
    </row>
    <row r="561" ht="14.25" customHeight="1">
      <c r="P561" s="21"/>
    </row>
    <row r="562" ht="14.25" customHeight="1">
      <c r="P562" s="21"/>
    </row>
    <row r="563" ht="14.25" customHeight="1">
      <c r="P563" s="21"/>
    </row>
    <row r="564" ht="14.25" customHeight="1">
      <c r="P564" s="21"/>
    </row>
    <row r="565" ht="14.25" customHeight="1">
      <c r="P565" s="21"/>
    </row>
    <row r="566" ht="14.25" customHeight="1">
      <c r="P566" s="21"/>
    </row>
    <row r="567" ht="14.25" customHeight="1">
      <c r="P567" s="21"/>
    </row>
    <row r="568" ht="14.25" customHeight="1">
      <c r="P568" s="21"/>
    </row>
    <row r="569" ht="14.25" customHeight="1">
      <c r="P569" s="21"/>
    </row>
    <row r="570" ht="14.25" customHeight="1">
      <c r="P570" s="21"/>
    </row>
    <row r="571" ht="14.25" customHeight="1">
      <c r="P571" s="21"/>
    </row>
    <row r="572" ht="14.25" customHeight="1">
      <c r="P572" s="21"/>
    </row>
    <row r="573" ht="14.25" customHeight="1">
      <c r="P573" s="21"/>
    </row>
    <row r="574" ht="14.25" customHeight="1">
      <c r="P574" s="21"/>
    </row>
    <row r="575" ht="14.25" customHeight="1">
      <c r="P575" s="21"/>
    </row>
    <row r="576" ht="14.25" customHeight="1">
      <c r="P576" s="21"/>
    </row>
    <row r="577" ht="14.25" customHeight="1">
      <c r="P577" s="21"/>
    </row>
    <row r="578" ht="14.25" customHeight="1">
      <c r="P578" s="21"/>
    </row>
    <row r="579" ht="14.25" customHeight="1">
      <c r="P579" s="21"/>
    </row>
    <row r="580" ht="14.25" customHeight="1">
      <c r="P580" s="21"/>
    </row>
    <row r="581" ht="14.25" customHeight="1">
      <c r="P581" s="21"/>
    </row>
    <row r="582" ht="14.25" customHeight="1">
      <c r="P582" s="21"/>
    </row>
    <row r="583" ht="14.25" customHeight="1">
      <c r="P583" s="21"/>
    </row>
    <row r="584" ht="14.25" customHeight="1">
      <c r="P584" s="21"/>
    </row>
    <row r="585" ht="14.25" customHeight="1">
      <c r="P585" s="21"/>
    </row>
    <row r="586" ht="14.25" customHeight="1">
      <c r="P586" s="21"/>
    </row>
    <row r="587" ht="14.25" customHeight="1">
      <c r="P587" s="21"/>
    </row>
    <row r="588" ht="14.25" customHeight="1">
      <c r="P588" s="21"/>
    </row>
    <row r="589" ht="14.25" customHeight="1">
      <c r="P589" s="21"/>
    </row>
    <row r="590" ht="14.25" customHeight="1">
      <c r="P590" s="21"/>
    </row>
    <row r="591" ht="14.25" customHeight="1">
      <c r="P591" s="21"/>
    </row>
    <row r="592" ht="14.25" customHeight="1">
      <c r="P592" s="21"/>
    </row>
    <row r="593" ht="14.25" customHeight="1">
      <c r="P593" s="21"/>
    </row>
    <row r="594" ht="14.25" customHeight="1">
      <c r="P594" s="21"/>
    </row>
    <row r="595" ht="14.25" customHeight="1">
      <c r="P595" s="21"/>
    </row>
    <row r="596" ht="14.25" customHeight="1">
      <c r="P596" s="21"/>
    </row>
    <row r="597" ht="14.25" customHeight="1">
      <c r="P597" s="21"/>
    </row>
    <row r="598" ht="14.25" customHeight="1">
      <c r="P598" s="21"/>
    </row>
    <row r="599" ht="14.25" customHeight="1">
      <c r="P599" s="21"/>
    </row>
    <row r="600" ht="14.25" customHeight="1">
      <c r="P600" s="21"/>
    </row>
    <row r="601" ht="14.25" customHeight="1">
      <c r="P601" s="21"/>
    </row>
    <row r="602" ht="14.25" customHeight="1">
      <c r="P602" s="21"/>
    </row>
    <row r="603" ht="14.25" customHeight="1">
      <c r="P603" s="21"/>
    </row>
    <row r="604" ht="14.25" customHeight="1">
      <c r="P604" s="21"/>
    </row>
    <row r="605" ht="14.25" customHeight="1">
      <c r="P605" s="21"/>
    </row>
    <row r="606" ht="14.25" customHeight="1">
      <c r="P606" s="21"/>
    </row>
    <row r="607" ht="14.25" customHeight="1">
      <c r="P607" s="21"/>
    </row>
    <row r="608" ht="14.25" customHeight="1">
      <c r="P608" s="21"/>
    </row>
    <row r="609" ht="14.25" customHeight="1">
      <c r="P609" s="21"/>
    </row>
    <row r="610" ht="14.25" customHeight="1">
      <c r="P610" s="21"/>
    </row>
    <row r="611" ht="14.25" customHeight="1">
      <c r="P611" s="21"/>
    </row>
    <row r="612" ht="14.25" customHeight="1">
      <c r="P612" s="21"/>
    </row>
    <row r="613" ht="14.25" customHeight="1">
      <c r="P613" s="21"/>
    </row>
    <row r="614" ht="14.25" customHeight="1">
      <c r="P614" s="21"/>
    </row>
    <row r="615" ht="14.25" customHeight="1">
      <c r="P615" s="21"/>
    </row>
    <row r="616" ht="14.25" customHeight="1">
      <c r="P616" s="21"/>
    </row>
    <row r="617" ht="14.25" customHeight="1">
      <c r="P617" s="21"/>
    </row>
    <row r="618" ht="14.25" customHeight="1">
      <c r="P618" s="21"/>
    </row>
    <row r="619" ht="14.25" customHeight="1">
      <c r="P619" s="21"/>
    </row>
    <row r="620" ht="14.25" customHeight="1">
      <c r="P620" s="21"/>
    </row>
    <row r="621" ht="14.25" customHeight="1">
      <c r="P621" s="21"/>
    </row>
    <row r="622" ht="14.25" customHeight="1">
      <c r="P622" s="21"/>
    </row>
    <row r="623" ht="14.25" customHeight="1">
      <c r="P623" s="21"/>
    </row>
    <row r="624" ht="14.25" customHeight="1">
      <c r="P624" s="21"/>
    </row>
    <row r="625" ht="14.25" customHeight="1">
      <c r="P625" s="21"/>
    </row>
    <row r="626" ht="14.25" customHeight="1">
      <c r="P626" s="21"/>
    </row>
    <row r="627" ht="14.25" customHeight="1">
      <c r="P627" s="21"/>
    </row>
    <row r="628" ht="14.25" customHeight="1">
      <c r="P628" s="21"/>
    </row>
    <row r="629" ht="14.25" customHeight="1">
      <c r="P629" s="21"/>
    </row>
    <row r="630" ht="14.25" customHeight="1">
      <c r="P630" s="21"/>
    </row>
    <row r="631" ht="14.25" customHeight="1">
      <c r="P631" s="21"/>
    </row>
    <row r="632" ht="14.25" customHeight="1">
      <c r="P632" s="21"/>
    </row>
    <row r="633" ht="14.25" customHeight="1">
      <c r="P633" s="21"/>
    </row>
    <row r="634" ht="14.25" customHeight="1">
      <c r="P634" s="21"/>
    </row>
    <row r="635" ht="14.25" customHeight="1">
      <c r="P635" s="21"/>
    </row>
    <row r="636" ht="14.25" customHeight="1">
      <c r="P636" s="21"/>
    </row>
    <row r="637" ht="14.25" customHeight="1">
      <c r="P637" s="21"/>
    </row>
    <row r="638" ht="14.25" customHeight="1">
      <c r="P638" s="21"/>
    </row>
    <row r="639" ht="14.25" customHeight="1">
      <c r="P639" s="21"/>
    </row>
    <row r="640" ht="14.25" customHeight="1">
      <c r="P640" s="21"/>
    </row>
    <row r="641" ht="14.25" customHeight="1">
      <c r="P641" s="21"/>
    </row>
    <row r="642" ht="14.25" customHeight="1">
      <c r="P642" s="21"/>
    </row>
    <row r="643" ht="14.25" customHeight="1">
      <c r="P643" s="21"/>
    </row>
    <row r="644" ht="14.25" customHeight="1">
      <c r="P644" s="21"/>
    </row>
    <row r="645" ht="14.25" customHeight="1">
      <c r="P645" s="21"/>
    </row>
    <row r="646" ht="14.25" customHeight="1">
      <c r="P646" s="21"/>
    </row>
    <row r="647" ht="14.25" customHeight="1">
      <c r="P647" s="21"/>
    </row>
    <row r="648" ht="14.25" customHeight="1">
      <c r="P648" s="21"/>
    </row>
    <row r="649" ht="14.25" customHeight="1">
      <c r="P649" s="21"/>
    </row>
    <row r="650" ht="14.25" customHeight="1">
      <c r="P650" s="21"/>
    </row>
    <row r="651" ht="14.25" customHeight="1">
      <c r="P651" s="21"/>
    </row>
    <row r="652" ht="14.25" customHeight="1">
      <c r="P652" s="21"/>
    </row>
    <row r="653" ht="14.25" customHeight="1">
      <c r="P653" s="21"/>
    </row>
    <row r="654" ht="14.25" customHeight="1">
      <c r="P654" s="21"/>
    </row>
    <row r="655" ht="14.25" customHeight="1">
      <c r="P655" s="21"/>
    </row>
    <row r="656" ht="14.25" customHeight="1">
      <c r="P656" s="21"/>
    </row>
    <row r="657" ht="14.25" customHeight="1">
      <c r="P657" s="21"/>
    </row>
    <row r="658" ht="14.25" customHeight="1">
      <c r="P658" s="21"/>
    </row>
    <row r="659" ht="14.25" customHeight="1">
      <c r="P659" s="21"/>
    </row>
    <row r="660" ht="14.25" customHeight="1">
      <c r="P660" s="21"/>
    </row>
    <row r="661" ht="14.25" customHeight="1">
      <c r="P661" s="21"/>
    </row>
    <row r="662" ht="14.25" customHeight="1">
      <c r="P662" s="21"/>
    </row>
    <row r="663" ht="14.25" customHeight="1">
      <c r="P663" s="21"/>
    </row>
    <row r="664" ht="14.25" customHeight="1">
      <c r="P664" s="21"/>
    </row>
    <row r="665" ht="14.25" customHeight="1">
      <c r="P665" s="21"/>
    </row>
    <row r="666" ht="14.25" customHeight="1">
      <c r="P666" s="21"/>
    </row>
    <row r="667" ht="14.25" customHeight="1">
      <c r="P667" s="21"/>
    </row>
    <row r="668" ht="14.25" customHeight="1">
      <c r="P668" s="21"/>
    </row>
    <row r="669" ht="14.25" customHeight="1">
      <c r="P669" s="21"/>
    </row>
    <row r="670" ht="14.25" customHeight="1">
      <c r="P670" s="21"/>
    </row>
    <row r="671" ht="14.25" customHeight="1">
      <c r="P671" s="21"/>
    </row>
    <row r="672" ht="14.25" customHeight="1">
      <c r="P672" s="21"/>
    </row>
    <row r="673" ht="14.25" customHeight="1">
      <c r="P673" s="21"/>
    </row>
    <row r="674" ht="14.25" customHeight="1">
      <c r="P674" s="21"/>
    </row>
    <row r="675" ht="14.25" customHeight="1">
      <c r="P675" s="21"/>
    </row>
    <row r="676" ht="14.25" customHeight="1">
      <c r="P676" s="21"/>
    </row>
    <row r="677" ht="14.25" customHeight="1">
      <c r="P677" s="21"/>
    </row>
    <row r="678" ht="14.25" customHeight="1">
      <c r="P678" s="21"/>
    </row>
    <row r="679" ht="14.25" customHeight="1">
      <c r="P679" s="21"/>
    </row>
    <row r="680" ht="14.25" customHeight="1">
      <c r="P680" s="21"/>
    </row>
    <row r="681" ht="14.25" customHeight="1">
      <c r="P681" s="21"/>
    </row>
    <row r="682" ht="14.25" customHeight="1">
      <c r="P682" s="21"/>
    </row>
    <row r="683" ht="14.25" customHeight="1">
      <c r="P683" s="21"/>
    </row>
    <row r="684" ht="14.25" customHeight="1">
      <c r="P684" s="21"/>
    </row>
    <row r="685" ht="14.25" customHeight="1">
      <c r="P685" s="21"/>
    </row>
    <row r="686" ht="14.25" customHeight="1">
      <c r="P686" s="21"/>
    </row>
    <row r="687" ht="14.25" customHeight="1">
      <c r="P687" s="21"/>
    </row>
    <row r="688" ht="14.25" customHeight="1">
      <c r="P688" s="21"/>
    </row>
    <row r="689" ht="14.25" customHeight="1">
      <c r="P689" s="21"/>
    </row>
    <row r="690" ht="14.25" customHeight="1">
      <c r="P690" s="21"/>
    </row>
    <row r="691" ht="14.25" customHeight="1">
      <c r="P691" s="21"/>
    </row>
    <row r="692" ht="14.25" customHeight="1">
      <c r="P692" s="21"/>
    </row>
    <row r="693" ht="14.25" customHeight="1">
      <c r="P693" s="21"/>
    </row>
    <row r="694" ht="14.25" customHeight="1">
      <c r="P694" s="21"/>
    </row>
    <row r="695" ht="14.25" customHeight="1">
      <c r="P695" s="21"/>
    </row>
    <row r="696" ht="14.25" customHeight="1">
      <c r="P696" s="21"/>
    </row>
    <row r="697" ht="14.25" customHeight="1">
      <c r="P697" s="21"/>
    </row>
    <row r="698" ht="14.25" customHeight="1">
      <c r="P698" s="21"/>
    </row>
    <row r="699" ht="14.25" customHeight="1">
      <c r="P699" s="21"/>
    </row>
    <row r="700" ht="14.25" customHeight="1">
      <c r="P700" s="21"/>
    </row>
    <row r="701" ht="14.25" customHeight="1">
      <c r="P701" s="21"/>
    </row>
    <row r="702" ht="14.25" customHeight="1">
      <c r="P702" s="21"/>
    </row>
    <row r="703" ht="14.25" customHeight="1">
      <c r="P703" s="21"/>
    </row>
    <row r="704" ht="14.25" customHeight="1">
      <c r="P704" s="21"/>
    </row>
    <row r="705" ht="14.25" customHeight="1">
      <c r="P705" s="21"/>
    </row>
    <row r="706" ht="14.25" customHeight="1">
      <c r="P706" s="21"/>
    </row>
    <row r="707" ht="14.25" customHeight="1">
      <c r="P707" s="21"/>
    </row>
    <row r="708" ht="14.25" customHeight="1">
      <c r="P708" s="21"/>
    </row>
    <row r="709" ht="14.25" customHeight="1">
      <c r="P709" s="21"/>
    </row>
    <row r="710" ht="14.25" customHeight="1">
      <c r="P710" s="21"/>
    </row>
    <row r="711" ht="14.25" customHeight="1">
      <c r="P711" s="21"/>
    </row>
    <row r="712" ht="14.25" customHeight="1">
      <c r="P712" s="21"/>
    </row>
    <row r="713" ht="14.25" customHeight="1">
      <c r="P713" s="21"/>
    </row>
    <row r="714" ht="14.25" customHeight="1">
      <c r="P714" s="21"/>
    </row>
    <row r="715" ht="14.25" customHeight="1">
      <c r="P715" s="21"/>
    </row>
    <row r="716" ht="14.25" customHeight="1">
      <c r="P716" s="21"/>
    </row>
    <row r="717" ht="14.25" customHeight="1">
      <c r="P717" s="21"/>
    </row>
    <row r="718" ht="14.25" customHeight="1">
      <c r="P718" s="21"/>
    </row>
    <row r="719" ht="14.25" customHeight="1">
      <c r="P719" s="21"/>
    </row>
    <row r="720" ht="14.25" customHeight="1">
      <c r="P720" s="21"/>
    </row>
    <row r="721" ht="14.25" customHeight="1">
      <c r="P721" s="21"/>
    </row>
    <row r="722" ht="14.25" customHeight="1">
      <c r="P722" s="21"/>
    </row>
    <row r="723" ht="14.25" customHeight="1">
      <c r="P723" s="21"/>
    </row>
    <row r="724" ht="14.25" customHeight="1">
      <c r="P724" s="21"/>
    </row>
    <row r="725" ht="14.25" customHeight="1">
      <c r="P725" s="21"/>
    </row>
    <row r="726" ht="14.25" customHeight="1">
      <c r="P726" s="21"/>
    </row>
    <row r="727" ht="14.25" customHeight="1">
      <c r="P727" s="21"/>
    </row>
    <row r="728" ht="14.25" customHeight="1">
      <c r="P728" s="21"/>
    </row>
    <row r="729" ht="14.25" customHeight="1">
      <c r="P729" s="21"/>
    </row>
    <row r="730" ht="14.25" customHeight="1">
      <c r="P730" s="21"/>
    </row>
    <row r="731" ht="14.25" customHeight="1">
      <c r="P731" s="21"/>
    </row>
    <row r="732" ht="14.25" customHeight="1">
      <c r="P732" s="21"/>
    </row>
    <row r="733" ht="14.25" customHeight="1">
      <c r="P733" s="21"/>
    </row>
    <row r="734" ht="14.25" customHeight="1">
      <c r="P734" s="21"/>
    </row>
    <row r="735" ht="14.25" customHeight="1">
      <c r="P735" s="21"/>
    </row>
    <row r="736" ht="14.25" customHeight="1">
      <c r="P736" s="21"/>
    </row>
    <row r="737" ht="14.25" customHeight="1">
      <c r="P737" s="21"/>
    </row>
    <row r="738" ht="14.25" customHeight="1">
      <c r="P738" s="21"/>
    </row>
    <row r="739" ht="14.25" customHeight="1">
      <c r="P739" s="21"/>
    </row>
    <row r="740" ht="14.25" customHeight="1">
      <c r="P740" s="21"/>
    </row>
    <row r="741" ht="14.25" customHeight="1">
      <c r="P741" s="21"/>
    </row>
    <row r="742" ht="14.25" customHeight="1">
      <c r="P742" s="21"/>
    </row>
    <row r="743" ht="14.25" customHeight="1">
      <c r="P743" s="21"/>
    </row>
    <row r="744" ht="14.25" customHeight="1">
      <c r="P744" s="21"/>
    </row>
    <row r="745" ht="14.25" customHeight="1">
      <c r="P745" s="21"/>
    </row>
    <row r="746" ht="14.25" customHeight="1">
      <c r="P746" s="21"/>
    </row>
    <row r="747" ht="14.25" customHeight="1">
      <c r="P747" s="21"/>
    </row>
    <row r="748" ht="14.25" customHeight="1">
      <c r="P748" s="21"/>
    </row>
    <row r="749" ht="14.25" customHeight="1">
      <c r="P749" s="21"/>
    </row>
    <row r="750" ht="14.25" customHeight="1">
      <c r="P750" s="21"/>
    </row>
    <row r="751" ht="14.25" customHeight="1">
      <c r="P751" s="21"/>
    </row>
    <row r="752" ht="14.25" customHeight="1">
      <c r="P752" s="21"/>
    </row>
    <row r="753" ht="14.25" customHeight="1">
      <c r="P753" s="21"/>
    </row>
    <row r="754" ht="14.25" customHeight="1">
      <c r="P754" s="21"/>
    </row>
    <row r="755" ht="14.25" customHeight="1">
      <c r="P755" s="21"/>
    </row>
    <row r="756" ht="14.25" customHeight="1">
      <c r="P756" s="21"/>
    </row>
    <row r="757" ht="14.25" customHeight="1">
      <c r="P757" s="21"/>
    </row>
    <row r="758" ht="14.25" customHeight="1">
      <c r="P758" s="21"/>
    </row>
    <row r="759" ht="14.25" customHeight="1">
      <c r="P759" s="21"/>
    </row>
    <row r="760" ht="14.25" customHeight="1">
      <c r="P760" s="21"/>
    </row>
    <row r="761" ht="14.25" customHeight="1">
      <c r="P761" s="21"/>
    </row>
    <row r="762" ht="14.25" customHeight="1">
      <c r="P762" s="21"/>
    </row>
    <row r="763" ht="14.25" customHeight="1">
      <c r="P763" s="21"/>
    </row>
    <row r="764" ht="14.25" customHeight="1">
      <c r="P764" s="21"/>
    </row>
    <row r="765" ht="14.25" customHeight="1">
      <c r="P765" s="21"/>
    </row>
    <row r="766" ht="14.25" customHeight="1">
      <c r="P766" s="21"/>
    </row>
    <row r="767" ht="14.25" customHeight="1">
      <c r="P767" s="21"/>
    </row>
    <row r="768" ht="14.25" customHeight="1">
      <c r="P768" s="21"/>
    </row>
    <row r="769" ht="14.25" customHeight="1">
      <c r="P769" s="21"/>
    </row>
    <row r="770" ht="14.25" customHeight="1">
      <c r="P770" s="21"/>
    </row>
    <row r="771" ht="14.25" customHeight="1">
      <c r="P771" s="21"/>
    </row>
    <row r="772" ht="14.25" customHeight="1">
      <c r="P772" s="21"/>
    </row>
    <row r="773" ht="14.25" customHeight="1">
      <c r="P773" s="21"/>
    </row>
    <row r="774" ht="14.25" customHeight="1">
      <c r="P774" s="21"/>
    </row>
    <row r="775" ht="14.25" customHeight="1">
      <c r="P775" s="21"/>
    </row>
    <row r="776" ht="14.25" customHeight="1">
      <c r="P776" s="21"/>
    </row>
    <row r="777" ht="14.25" customHeight="1">
      <c r="P777" s="21"/>
    </row>
    <row r="778" ht="14.25" customHeight="1">
      <c r="P778" s="21"/>
    </row>
    <row r="779" ht="14.25" customHeight="1">
      <c r="P779" s="21"/>
    </row>
    <row r="780" ht="14.25" customHeight="1">
      <c r="P780" s="21"/>
    </row>
    <row r="781" ht="14.25" customHeight="1">
      <c r="P781" s="21"/>
    </row>
    <row r="782" ht="14.25" customHeight="1">
      <c r="P782" s="21"/>
    </row>
    <row r="783" ht="14.25" customHeight="1">
      <c r="P783" s="21"/>
    </row>
    <row r="784" ht="14.25" customHeight="1">
      <c r="P784" s="21"/>
    </row>
    <row r="785" ht="14.25" customHeight="1">
      <c r="P785" s="21"/>
    </row>
    <row r="786" ht="14.25" customHeight="1">
      <c r="P786" s="21"/>
    </row>
    <row r="787" ht="14.25" customHeight="1">
      <c r="P787" s="21"/>
    </row>
    <row r="788" ht="14.25" customHeight="1">
      <c r="P788" s="21"/>
    </row>
    <row r="789" ht="14.25" customHeight="1">
      <c r="P789" s="21"/>
    </row>
    <row r="790" ht="14.25" customHeight="1">
      <c r="P790" s="21"/>
    </row>
    <row r="791" ht="14.25" customHeight="1">
      <c r="P791" s="21"/>
    </row>
    <row r="792" ht="14.25" customHeight="1">
      <c r="P792" s="21"/>
    </row>
    <row r="793" ht="14.25" customHeight="1">
      <c r="P793" s="21"/>
    </row>
    <row r="794" ht="14.25" customHeight="1">
      <c r="P794" s="21"/>
    </row>
    <row r="795" ht="14.25" customHeight="1">
      <c r="P795" s="21"/>
    </row>
    <row r="796" ht="14.25" customHeight="1">
      <c r="P796" s="21"/>
    </row>
    <row r="797" ht="14.25" customHeight="1">
      <c r="P797" s="21"/>
    </row>
    <row r="798" ht="14.25" customHeight="1">
      <c r="P798" s="21"/>
    </row>
    <row r="799" ht="14.25" customHeight="1">
      <c r="P799" s="21"/>
    </row>
    <row r="800" ht="14.25" customHeight="1">
      <c r="P800" s="21"/>
    </row>
    <row r="801" ht="14.25" customHeight="1">
      <c r="P801" s="21"/>
    </row>
    <row r="802" ht="14.25" customHeight="1">
      <c r="P802" s="21"/>
    </row>
    <row r="803" ht="14.25" customHeight="1">
      <c r="P803" s="21"/>
    </row>
    <row r="804" ht="14.25" customHeight="1">
      <c r="P804" s="21"/>
    </row>
    <row r="805" ht="14.25" customHeight="1">
      <c r="P805" s="21"/>
    </row>
    <row r="806" ht="14.25" customHeight="1">
      <c r="P806" s="21"/>
    </row>
    <row r="807" ht="14.25" customHeight="1">
      <c r="P807" s="21"/>
    </row>
    <row r="808" ht="14.25" customHeight="1">
      <c r="P808" s="21"/>
    </row>
    <row r="809" ht="14.25" customHeight="1">
      <c r="P809" s="21"/>
    </row>
    <row r="810" ht="14.25" customHeight="1">
      <c r="P810" s="21"/>
    </row>
    <row r="811" ht="14.25" customHeight="1">
      <c r="P811" s="21"/>
    </row>
    <row r="812" ht="14.25" customHeight="1">
      <c r="P812" s="21"/>
    </row>
    <row r="813" ht="14.25" customHeight="1">
      <c r="P813" s="21"/>
    </row>
    <row r="814" ht="14.25" customHeight="1">
      <c r="P814" s="21"/>
    </row>
    <row r="815" ht="14.25" customHeight="1">
      <c r="P815" s="21"/>
    </row>
    <row r="816" ht="14.25" customHeight="1">
      <c r="P816" s="21"/>
    </row>
    <row r="817" ht="14.25" customHeight="1">
      <c r="P817" s="21"/>
    </row>
    <row r="818" ht="14.25" customHeight="1">
      <c r="P818" s="21"/>
    </row>
    <row r="819" ht="14.25" customHeight="1">
      <c r="P819" s="21"/>
    </row>
    <row r="820" ht="14.25" customHeight="1">
      <c r="P820" s="21"/>
    </row>
    <row r="821" ht="14.25" customHeight="1">
      <c r="P821" s="21"/>
    </row>
    <row r="822" ht="14.25" customHeight="1">
      <c r="P822" s="21"/>
    </row>
    <row r="823" ht="14.25" customHeight="1">
      <c r="P823" s="21"/>
    </row>
    <row r="824" ht="14.25" customHeight="1">
      <c r="P824" s="21"/>
    </row>
    <row r="825" ht="14.25" customHeight="1">
      <c r="P825" s="21"/>
    </row>
    <row r="826" ht="14.25" customHeight="1">
      <c r="P826" s="21"/>
    </row>
    <row r="827" ht="14.25" customHeight="1">
      <c r="P827" s="21"/>
    </row>
    <row r="828" ht="14.25" customHeight="1">
      <c r="P828" s="21"/>
    </row>
    <row r="829" ht="14.25" customHeight="1">
      <c r="P829" s="21"/>
    </row>
    <row r="830" ht="14.25" customHeight="1">
      <c r="P830" s="21"/>
    </row>
    <row r="831" ht="14.25" customHeight="1">
      <c r="P831" s="21"/>
    </row>
    <row r="832" ht="14.25" customHeight="1">
      <c r="P832" s="21"/>
    </row>
    <row r="833" ht="14.25" customHeight="1">
      <c r="P833" s="21"/>
    </row>
    <row r="834" ht="14.25" customHeight="1">
      <c r="P834" s="21"/>
    </row>
    <row r="835" ht="14.25" customHeight="1">
      <c r="P835" s="21"/>
    </row>
    <row r="836" ht="14.25" customHeight="1">
      <c r="P836" s="21"/>
    </row>
    <row r="837" ht="14.25" customHeight="1">
      <c r="P837" s="21"/>
    </row>
    <row r="838" ht="14.25" customHeight="1">
      <c r="P838" s="21"/>
    </row>
    <row r="839" ht="14.25" customHeight="1">
      <c r="P839" s="21"/>
    </row>
    <row r="840" ht="14.25" customHeight="1">
      <c r="P840" s="21"/>
    </row>
    <row r="841" ht="14.25" customHeight="1">
      <c r="P841" s="21"/>
    </row>
    <row r="842" ht="14.25" customHeight="1">
      <c r="P842" s="21"/>
    </row>
    <row r="843" ht="14.25" customHeight="1">
      <c r="P843" s="21"/>
    </row>
    <row r="844" ht="14.25" customHeight="1">
      <c r="P844" s="21"/>
    </row>
    <row r="845" ht="14.25" customHeight="1">
      <c r="P845" s="21"/>
    </row>
    <row r="846" ht="14.25" customHeight="1">
      <c r="P846" s="21"/>
    </row>
    <row r="847" ht="14.25" customHeight="1">
      <c r="P847" s="21"/>
    </row>
    <row r="848" ht="14.25" customHeight="1">
      <c r="P848" s="21"/>
    </row>
    <row r="849" ht="14.25" customHeight="1">
      <c r="P849" s="21"/>
    </row>
    <row r="850" ht="14.25" customHeight="1">
      <c r="P850" s="21"/>
    </row>
    <row r="851" ht="14.25" customHeight="1">
      <c r="P851" s="21"/>
    </row>
    <row r="852" ht="14.25" customHeight="1">
      <c r="P852" s="21"/>
    </row>
    <row r="853" ht="14.25" customHeight="1">
      <c r="P853" s="21"/>
    </row>
    <row r="854" ht="14.25" customHeight="1">
      <c r="P854" s="21"/>
    </row>
    <row r="855" ht="14.25" customHeight="1">
      <c r="P855" s="21"/>
    </row>
    <row r="856" ht="14.25" customHeight="1">
      <c r="P856" s="21"/>
    </row>
    <row r="857" ht="14.25" customHeight="1">
      <c r="P857" s="21"/>
    </row>
    <row r="858" ht="14.25" customHeight="1">
      <c r="P858" s="21"/>
    </row>
    <row r="859" ht="14.25" customHeight="1">
      <c r="P859" s="21"/>
    </row>
    <row r="860" ht="14.25" customHeight="1">
      <c r="P860" s="21"/>
    </row>
    <row r="861" ht="14.25" customHeight="1">
      <c r="P861" s="21"/>
    </row>
    <row r="862" ht="14.25" customHeight="1">
      <c r="P862" s="21"/>
    </row>
    <row r="863" ht="14.25" customHeight="1">
      <c r="P863" s="21"/>
    </row>
    <row r="864" ht="14.25" customHeight="1">
      <c r="P864" s="21"/>
    </row>
    <row r="865" ht="14.25" customHeight="1">
      <c r="P865" s="21"/>
    </row>
    <row r="866" ht="14.25" customHeight="1">
      <c r="P866" s="21"/>
    </row>
    <row r="867" ht="14.25" customHeight="1">
      <c r="P867" s="21"/>
    </row>
    <row r="868" ht="14.25" customHeight="1">
      <c r="P868" s="21"/>
    </row>
    <row r="869" ht="14.25" customHeight="1">
      <c r="P869" s="21"/>
    </row>
    <row r="870" ht="14.25" customHeight="1">
      <c r="P870" s="21"/>
    </row>
    <row r="871" ht="14.25" customHeight="1">
      <c r="P871" s="21"/>
    </row>
    <row r="872" ht="14.25" customHeight="1">
      <c r="P872" s="21"/>
    </row>
    <row r="873" ht="14.25" customHeight="1">
      <c r="P873" s="21"/>
    </row>
    <row r="874" ht="14.25" customHeight="1">
      <c r="P874" s="21"/>
    </row>
    <row r="875" ht="14.25" customHeight="1">
      <c r="P875" s="21"/>
    </row>
    <row r="876" ht="14.25" customHeight="1">
      <c r="P876" s="21"/>
    </row>
    <row r="877" ht="14.25" customHeight="1">
      <c r="P877" s="21"/>
    </row>
    <row r="878" ht="14.25" customHeight="1">
      <c r="P878" s="21"/>
    </row>
    <row r="879" ht="14.25" customHeight="1">
      <c r="P879" s="21"/>
    </row>
    <row r="880" ht="14.25" customHeight="1">
      <c r="P880" s="21"/>
    </row>
    <row r="881" ht="14.25" customHeight="1">
      <c r="P881" s="21"/>
    </row>
    <row r="882" ht="14.25" customHeight="1">
      <c r="P882" s="21"/>
    </row>
    <row r="883" ht="14.25" customHeight="1">
      <c r="P883" s="21"/>
    </row>
    <row r="884" ht="14.25" customHeight="1">
      <c r="P884" s="21"/>
    </row>
    <row r="885" ht="14.25" customHeight="1">
      <c r="P885" s="21"/>
    </row>
    <row r="886" ht="14.25" customHeight="1">
      <c r="P886" s="21"/>
    </row>
    <row r="887" ht="14.25" customHeight="1">
      <c r="P887" s="21"/>
    </row>
    <row r="888" ht="14.25" customHeight="1">
      <c r="P888" s="21"/>
    </row>
    <row r="889" ht="14.25" customHeight="1">
      <c r="P889" s="21"/>
    </row>
    <row r="890" ht="14.25" customHeight="1">
      <c r="P890" s="21"/>
    </row>
    <row r="891" ht="14.25" customHeight="1">
      <c r="P891" s="21"/>
    </row>
    <row r="892" ht="14.25" customHeight="1">
      <c r="P892" s="21"/>
    </row>
    <row r="893" ht="14.25" customHeight="1">
      <c r="P893" s="21"/>
    </row>
    <row r="894" ht="14.25" customHeight="1">
      <c r="P894" s="21"/>
    </row>
    <row r="895" ht="14.25" customHeight="1">
      <c r="P895" s="21"/>
    </row>
    <row r="896" ht="14.25" customHeight="1">
      <c r="P896" s="21"/>
    </row>
    <row r="897" ht="14.25" customHeight="1">
      <c r="P897" s="21"/>
    </row>
    <row r="898" ht="14.25" customHeight="1">
      <c r="P898" s="21"/>
    </row>
    <row r="899" ht="14.25" customHeight="1">
      <c r="P899" s="21"/>
    </row>
    <row r="900" ht="14.25" customHeight="1">
      <c r="P900" s="21"/>
    </row>
    <row r="901" ht="14.25" customHeight="1">
      <c r="P901" s="21"/>
    </row>
    <row r="902" ht="14.25" customHeight="1">
      <c r="P902" s="21"/>
    </row>
    <row r="903" ht="14.25" customHeight="1">
      <c r="P903" s="21"/>
    </row>
    <row r="904" ht="14.25" customHeight="1">
      <c r="P904" s="21"/>
    </row>
    <row r="905" ht="14.25" customHeight="1">
      <c r="P905" s="21"/>
    </row>
    <row r="906" ht="14.25" customHeight="1">
      <c r="P906" s="21"/>
    </row>
    <row r="907" ht="14.25" customHeight="1">
      <c r="P907" s="21"/>
    </row>
    <row r="908" ht="14.25" customHeight="1">
      <c r="P908" s="21"/>
    </row>
    <row r="909" ht="14.25" customHeight="1">
      <c r="P909" s="21"/>
    </row>
    <row r="910" ht="14.25" customHeight="1">
      <c r="P910" s="21"/>
    </row>
    <row r="911" ht="14.25" customHeight="1">
      <c r="P911" s="21"/>
    </row>
    <row r="912" ht="14.25" customHeight="1">
      <c r="P912" s="21"/>
    </row>
    <row r="913" ht="14.25" customHeight="1">
      <c r="P913" s="21"/>
    </row>
    <row r="914" ht="14.25" customHeight="1">
      <c r="P914" s="21"/>
    </row>
    <row r="915" ht="14.25" customHeight="1">
      <c r="P915" s="21"/>
    </row>
    <row r="916" ht="14.25" customHeight="1">
      <c r="P916" s="21"/>
    </row>
    <row r="917" ht="14.25" customHeight="1">
      <c r="P917" s="21"/>
    </row>
    <row r="918" ht="14.25" customHeight="1">
      <c r="P918" s="21"/>
    </row>
    <row r="919" ht="14.25" customHeight="1">
      <c r="P919" s="21"/>
    </row>
    <row r="920" ht="14.25" customHeight="1">
      <c r="P920" s="21"/>
    </row>
    <row r="921" ht="14.25" customHeight="1">
      <c r="P921" s="21"/>
    </row>
    <row r="922" ht="14.25" customHeight="1">
      <c r="P922" s="21"/>
    </row>
    <row r="923" ht="14.25" customHeight="1">
      <c r="P923" s="21"/>
    </row>
    <row r="924" ht="14.25" customHeight="1">
      <c r="P924" s="21"/>
    </row>
    <row r="925" ht="14.25" customHeight="1">
      <c r="P925" s="21"/>
    </row>
    <row r="926" ht="14.25" customHeight="1">
      <c r="P926" s="21"/>
    </row>
    <row r="927" ht="14.25" customHeight="1">
      <c r="P927" s="21"/>
    </row>
    <row r="928" ht="14.25" customHeight="1">
      <c r="P928" s="21"/>
    </row>
    <row r="929" ht="14.25" customHeight="1">
      <c r="P929" s="21"/>
    </row>
    <row r="930" ht="14.25" customHeight="1">
      <c r="P930" s="21"/>
    </row>
    <row r="931" ht="14.25" customHeight="1">
      <c r="P931" s="21"/>
    </row>
    <row r="932" ht="14.25" customHeight="1">
      <c r="P932" s="21"/>
    </row>
    <row r="933" ht="14.25" customHeight="1">
      <c r="P933" s="21"/>
    </row>
    <row r="934" ht="14.25" customHeight="1">
      <c r="P934" s="21"/>
    </row>
    <row r="935" ht="14.25" customHeight="1">
      <c r="P935" s="21"/>
    </row>
    <row r="936" ht="14.25" customHeight="1">
      <c r="P936" s="21"/>
    </row>
    <row r="937" ht="14.25" customHeight="1">
      <c r="P937" s="21"/>
    </row>
    <row r="938" ht="14.25" customHeight="1">
      <c r="P938" s="21"/>
    </row>
    <row r="939" ht="14.25" customHeight="1">
      <c r="P939" s="21"/>
    </row>
    <row r="940" ht="14.25" customHeight="1">
      <c r="P940" s="21"/>
    </row>
    <row r="941" ht="14.25" customHeight="1">
      <c r="P941" s="21"/>
    </row>
    <row r="942" ht="14.25" customHeight="1">
      <c r="P942" s="21"/>
    </row>
    <row r="943" ht="14.25" customHeight="1">
      <c r="P943" s="21"/>
    </row>
    <row r="944" ht="14.25" customHeight="1">
      <c r="P944" s="21"/>
    </row>
    <row r="945" ht="14.25" customHeight="1">
      <c r="P945" s="21"/>
    </row>
    <row r="946" ht="14.25" customHeight="1">
      <c r="P946" s="21"/>
    </row>
    <row r="947" ht="14.25" customHeight="1">
      <c r="P947" s="21"/>
    </row>
    <row r="948" ht="14.25" customHeight="1">
      <c r="P948" s="21"/>
    </row>
    <row r="949" ht="14.25" customHeight="1">
      <c r="P949" s="21"/>
    </row>
    <row r="950" ht="14.25" customHeight="1">
      <c r="P950" s="21"/>
    </row>
    <row r="951" ht="14.25" customHeight="1">
      <c r="P951" s="21"/>
    </row>
    <row r="952" ht="14.25" customHeight="1">
      <c r="P952" s="21"/>
    </row>
    <row r="953" ht="14.25" customHeight="1">
      <c r="P953" s="21"/>
    </row>
    <row r="954" ht="14.25" customHeight="1">
      <c r="P954" s="21"/>
    </row>
    <row r="955" ht="14.25" customHeight="1">
      <c r="P955" s="21"/>
    </row>
    <row r="956" ht="14.25" customHeight="1">
      <c r="P956" s="21"/>
    </row>
    <row r="957" ht="14.25" customHeight="1">
      <c r="P957" s="21"/>
    </row>
    <row r="958" ht="14.25" customHeight="1">
      <c r="P958" s="21"/>
    </row>
    <row r="959" ht="14.25" customHeight="1">
      <c r="P959" s="21"/>
    </row>
    <row r="960" ht="14.25" customHeight="1">
      <c r="P960" s="21"/>
    </row>
    <row r="961" ht="14.25" customHeight="1">
      <c r="P961" s="21"/>
    </row>
    <row r="962" ht="14.25" customHeight="1">
      <c r="P962" s="21"/>
    </row>
    <row r="963" ht="14.25" customHeight="1">
      <c r="P963" s="21"/>
    </row>
    <row r="964" ht="14.25" customHeight="1">
      <c r="P964" s="21"/>
    </row>
    <row r="965" ht="14.25" customHeight="1">
      <c r="P965" s="21"/>
    </row>
    <row r="966" ht="14.25" customHeight="1">
      <c r="P966" s="21"/>
    </row>
    <row r="967" ht="14.25" customHeight="1">
      <c r="P967" s="21"/>
    </row>
    <row r="968" ht="14.25" customHeight="1">
      <c r="P968" s="21"/>
    </row>
    <row r="969" ht="14.25" customHeight="1">
      <c r="P969" s="21"/>
    </row>
    <row r="970" ht="14.25" customHeight="1">
      <c r="P970" s="21"/>
    </row>
    <row r="971" ht="14.25" customHeight="1">
      <c r="P971" s="21"/>
    </row>
    <row r="972" ht="14.25" customHeight="1">
      <c r="P972" s="21"/>
    </row>
    <row r="973" ht="14.25" customHeight="1">
      <c r="P973" s="21"/>
    </row>
    <row r="974" ht="14.25" customHeight="1">
      <c r="P974" s="21"/>
    </row>
    <row r="975" ht="14.25" customHeight="1">
      <c r="P975" s="21"/>
    </row>
    <row r="976" ht="14.25" customHeight="1">
      <c r="P976" s="21"/>
    </row>
    <row r="977" ht="14.25" customHeight="1">
      <c r="P977" s="21"/>
    </row>
    <row r="978" ht="14.25" customHeight="1">
      <c r="P978" s="21"/>
    </row>
    <row r="979" ht="14.25" customHeight="1">
      <c r="P979" s="21"/>
    </row>
    <row r="980" ht="14.25" customHeight="1">
      <c r="P980" s="21"/>
    </row>
    <row r="981" ht="14.25" customHeight="1">
      <c r="P981" s="21"/>
    </row>
    <row r="982" ht="14.25" customHeight="1">
      <c r="P982" s="21"/>
    </row>
    <row r="983" ht="14.25" customHeight="1">
      <c r="P983" s="21"/>
    </row>
    <row r="984" ht="14.25" customHeight="1">
      <c r="P984" s="21"/>
    </row>
    <row r="985" ht="14.25" customHeight="1">
      <c r="P985" s="21"/>
    </row>
    <row r="986" ht="14.25" customHeight="1">
      <c r="P986" s="21"/>
    </row>
    <row r="987" ht="14.25" customHeight="1">
      <c r="P987" s="21"/>
    </row>
    <row r="988" ht="14.25" customHeight="1">
      <c r="P988" s="21"/>
    </row>
    <row r="989" ht="14.25" customHeight="1">
      <c r="P989" s="21"/>
    </row>
    <row r="990" ht="14.25" customHeight="1">
      <c r="P990" s="21"/>
    </row>
    <row r="991" ht="14.25" customHeight="1">
      <c r="P991" s="21"/>
    </row>
    <row r="992" ht="14.25" customHeight="1">
      <c r="P992" s="21"/>
    </row>
    <row r="993" ht="14.25" customHeight="1">
      <c r="P993" s="21"/>
    </row>
    <row r="994" ht="14.25" customHeight="1">
      <c r="P994" s="21"/>
    </row>
    <row r="995" ht="14.25" customHeight="1">
      <c r="P995" s="21"/>
    </row>
    <row r="996" ht="14.25" customHeight="1">
      <c r="P996" s="21"/>
    </row>
    <row r="997" ht="14.25" customHeight="1">
      <c r="P997" s="21"/>
    </row>
    <row r="998" ht="14.25" customHeight="1">
      <c r="P998" s="21"/>
    </row>
    <row r="999" ht="14.25" customHeight="1">
      <c r="P999" s="21"/>
    </row>
    <row r="1000" ht="14.25" customHeight="1">
      <c r="P1000" s="21"/>
    </row>
  </sheetData>
  <autoFilter ref="$A$1:$Q$301"/>
  <dataValidations>
    <dataValidation type="list" allowBlank="1" showErrorMessage="1" sqref="Q2:Q301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17.75"/>
    <col customWidth="1" min="3" max="3" width="27.75"/>
    <col customWidth="1" min="4" max="4" width="41.5"/>
    <col customWidth="1" min="5" max="5" width="9.75"/>
    <col customWidth="1" min="6" max="26" width="8.63"/>
  </cols>
  <sheetData>
    <row r="1" ht="14.25" customHeight="1">
      <c r="A1" s="22" t="s">
        <v>556</v>
      </c>
      <c r="B1" s="22" t="s">
        <v>2</v>
      </c>
      <c r="C1" s="22" t="s">
        <v>3</v>
      </c>
      <c r="D1" s="22" t="s">
        <v>15</v>
      </c>
      <c r="E1" s="22" t="s">
        <v>16</v>
      </c>
      <c r="F1" s="22" t="s">
        <v>17</v>
      </c>
      <c r="G1" s="22" t="s">
        <v>557</v>
      </c>
      <c r="H1" s="22" t="s">
        <v>19</v>
      </c>
      <c r="I1" s="22" t="s">
        <v>558</v>
      </c>
      <c r="J1" s="22" t="s">
        <v>559</v>
      </c>
    </row>
    <row r="2" ht="14.25" customHeight="1">
      <c r="A2" s="22" t="s">
        <v>560</v>
      </c>
      <c r="B2" s="22" t="s">
        <v>13</v>
      </c>
      <c r="C2" s="22" t="str">
        <f>+'2024_Transactions'!$D2&amp;'2024_Transactions'!$E2</f>
        <v>MaristLiufau</v>
      </c>
      <c r="D2" s="22" t="s">
        <v>561</v>
      </c>
      <c r="E2" s="22" t="s">
        <v>562</v>
      </c>
      <c r="F2" s="22" t="s">
        <v>563</v>
      </c>
      <c r="G2" s="22" t="s">
        <v>32</v>
      </c>
      <c r="H2" s="22" t="s">
        <v>87</v>
      </c>
      <c r="I2" s="22" t="s">
        <v>564</v>
      </c>
      <c r="J2" s="22" t="s">
        <v>565</v>
      </c>
    </row>
    <row r="3" ht="14.25" customHeight="1">
      <c r="A3" s="22" t="s">
        <v>566</v>
      </c>
      <c r="B3" s="22" t="s">
        <v>11</v>
      </c>
      <c r="C3" s="22" t="str">
        <f>+'2024_Transactions'!$D3&amp;'2024_Transactions'!$E3</f>
        <v>JalenMcMillan</v>
      </c>
      <c r="D3" s="23" t="s">
        <v>122</v>
      </c>
      <c r="E3" s="22" t="s">
        <v>411</v>
      </c>
      <c r="F3" s="22" t="s">
        <v>567</v>
      </c>
      <c r="G3" s="22" t="s">
        <v>32</v>
      </c>
      <c r="H3" s="22" t="s">
        <v>238</v>
      </c>
      <c r="I3" s="22" t="s">
        <v>564</v>
      </c>
      <c r="J3" s="22" t="s">
        <v>568</v>
      </c>
    </row>
    <row r="4" ht="14.25" customHeight="1">
      <c r="A4" s="22" t="s">
        <v>566</v>
      </c>
      <c r="B4" s="22" t="s">
        <v>11</v>
      </c>
      <c r="C4" s="22" t="str">
        <f>+'2024_Transactions'!$D4&amp;'2024_Transactions'!$E4</f>
        <v>MilesSanders</v>
      </c>
      <c r="D4" s="22" t="s">
        <v>418</v>
      </c>
      <c r="E4" s="22" t="s">
        <v>57</v>
      </c>
      <c r="F4" s="22" t="s">
        <v>39</v>
      </c>
      <c r="G4" s="22" t="s">
        <v>32</v>
      </c>
      <c r="H4" s="22" t="s">
        <v>218</v>
      </c>
      <c r="I4" s="22" t="s">
        <v>564</v>
      </c>
      <c r="J4" s="22" t="s">
        <v>568</v>
      </c>
    </row>
    <row r="5" ht="14.25" customHeight="1">
      <c r="A5" s="22" t="s">
        <v>569</v>
      </c>
      <c r="B5" s="22" t="s">
        <v>11</v>
      </c>
      <c r="C5" s="22" t="str">
        <f>+'2024_Transactions'!$D5&amp;'2024_Transactions'!$E5</f>
        <v>TylerAllgeier</v>
      </c>
      <c r="D5" s="22" t="s">
        <v>280</v>
      </c>
      <c r="E5" s="22" t="s">
        <v>570</v>
      </c>
      <c r="F5" s="22" t="s">
        <v>39</v>
      </c>
      <c r="G5" s="22" t="s">
        <v>32</v>
      </c>
      <c r="H5" s="22" t="s">
        <v>63</v>
      </c>
      <c r="I5" s="22" t="s">
        <v>564</v>
      </c>
      <c r="J5" s="22" t="s">
        <v>565</v>
      </c>
    </row>
    <row r="6" ht="14.25" customHeight="1">
      <c r="A6" s="22" t="s">
        <v>571</v>
      </c>
      <c r="B6" s="22" t="s">
        <v>12</v>
      </c>
      <c r="C6" s="22" t="str">
        <f>+'2024_Transactions'!$D6&amp;'2024_Transactions'!$E6</f>
        <v>DrewSanders</v>
      </c>
      <c r="D6" s="22" t="s">
        <v>236</v>
      </c>
      <c r="E6" s="22" t="s">
        <v>57</v>
      </c>
      <c r="F6" s="22" t="s">
        <v>563</v>
      </c>
      <c r="G6" s="22" t="s">
        <v>32</v>
      </c>
      <c r="H6" s="22" t="s">
        <v>103</v>
      </c>
      <c r="I6" s="22" t="s">
        <v>564</v>
      </c>
      <c r="J6" s="22" t="s">
        <v>568</v>
      </c>
    </row>
    <row r="7" ht="14.25" customHeight="1">
      <c r="A7" s="22" t="s">
        <v>571</v>
      </c>
      <c r="B7" s="22" t="s">
        <v>12</v>
      </c>
      <c r="C7" s="22" t="str">
        <f>+'2024_Transactions'!$D7&amp;'2024_Transactions'!$E7</f>
        <v>TySummers</v>
      </c>
      <c r="D7" s="22" t="s">
        <v>207</v>
      </c>
      <c r="E7" s="22" t="s">
        <v>208</v>
      </c>
      <c r="F7" s="22" t="s">
        <v>563</v>
      </c>
      <c r="G7" s="22" t="s">
        <v>32</v>
      </c>
      <c r="H7" s="22" t="s">
        <v>82</v>
      </c>
      <c r="I7" s="22" t="s">
        <v>564</v>
      </c>
      <c r="J7" s="22" t="s">
        <v>568</v>
      </c>
    </row>
    <row r="8" ht="14.25" customHeight="1">
      <c r="A8" s="22" t="s">
        <v>571</v>
      </c>
      <c r="B8" s="22" t="s">
        <v>11</v>
      </c>
      <c r="C8" s="22" t="str">
        <f>+'2024_Transactions'!$D8&amp;'2024_Transactions'!$E8</f>
        <v>JacobyWindmon</v>
      </c>
      <c r="D8" s="22" t="s">
        <v>398</v>
      </c>
      <c r="E8" s="22" t="s">
        <v>399</v>
      </c>
      <c r="F8" s="22" t="s">
        <v>563</v>
      </c>
      <c r="G8" s="22" t="s">
        <v>32</v>
      </c>
      <c r="H8" s="22" t="s">
        <v>218</v>
      </c>
      <c r="I8" s="22" t="s">
        <v>564</v>
      </c>
      <c r="J8" s="22" t="s">
        <v>568</v>
      </c>
    </row>
    <row r="9" ht="14.25" customHeight="1">
      <c r="A9" s="22" t="s">
        <v>572</v>
      </c>
      <c r="B9" s="22" t="s">
        <v>12</v>
      </c>
      <c r="C9" s="22" t="str">
        <f>+'2024_Transactions'!$D9&amp;'2024_Transactions'!$E9</f>
        <v>DaRonBland</v>
      </c>
      <c r="D9" s="23" t="s">
        <v>231</v>
      </c>
      <c r="E9" s="22" t="s">
        <v>232</v>
      </c>
      <c r="F9" s="22" t="s">
        <v>573</v>
      </c>
      <c r="G9" s="22" t="s">
        <v>32</v>
      </c>
      <c r="H9" s="22" t="s">
        <v>87</v>
      </c>
      <c r="I9" s="22" t="s">
        <v>564</v>
      </c>
      <c r="J9" s="22" t="s">
        <v>568</v>
      </c>
    </row>
    <row r="10" ht="14.25" customHeight="1">
      <c r="A10" s="22" t="s">
        <v>572</v>
      </c>
      <c r="B10" s="22" t="s">
        <v>12</v>
      </c>
      <c r="C10" s="22" t="str">
        <f>+'2024_Transactions'!$D10&amp;'2024_Transactions'!$E10</f>
        <v>CedricGray</v>
      </c>
      <c r="D10" s="22" t="s">
        <v>233</v>
      </c>
      <c r="E10" s="22" t="s">
        <v>234</v>
      </c>
      <c r="F10" s="22" t="s">
        <v>563</v>
      </c>
      <c r="G10" s="22" t="s">
        <v>32</v>
      </c>
      <c r="H10" s="22" t="s">
        <v>71</v>
      </c>
      <c r="I10" s="22" t="s">
        <v>564</v>
      </c>
      <c r="J10" s="22" t="s">
        <v>568</v>
      </c>
    </row>
    <row r="11" ht="14.25" customHeight="1">
      <c r="A11" s="22" t="s">
        <v>574</v>
      </c>
      <c r="B11" s="22" t="s">
        <v>12</v>
      </c>
      <c r="C11" s="22" t="str">
        <f>+'2024_Transactions'!$D11&amp;'2024_Transactions'!$E11</f>
        <v>NevilleHewitt</v>
      </c>
      <c r="D11" s="22" t="s">
        <v>575</v>
      </c>
      <c r="E11" s="22" t="s">
        <v>576</v>
      </c>
      <c r="F11" s="22" t="s">
        <v>563</v>
      </c>
      <c r="G11" s="22" t="s">
        <v>32</v>
      </c>
      <c r="H11" s="22" t="s">
        <v>172</v>
      </c>
      <c r="I11" s="22" t="s">
        <v>564</v>
      </c>
      <c r="J11" s="22" t="s">
        <v>565</v>
      </c>
    </row>
    <row r="12" ht="14.25" customHeight="1">
      <c r="A12" s="22" t="s">
        <v>577</v>
      </c>
      <c r="B12" s="22" t="s">
        <v>10</v>
      </c>
      <c r="C12" s="22" t="str">
        <f>+'2024_Transactions'!$D12&amp;'2024_Transactions'!$E12</f>
        <v>DonovanWilson</v>
      </c>
      <c r="D12" s="23" t="s">
        <v>492</v>
      </c>
      <c r="E12" s="22" t="s">
        <v>215</v>
      </c>
      <c r="F12" s="22" t="s">
        <v>573</v>
      </c>
      <c r="G12" s="22" t="s">
        <v>32</v>
      </c>
      <c r="H12" s="22" t="s">
        <v>87</v>
      </c>
      <c r="I12" s="22" t="s">
        <v>564</v>
      </c>
      <c r="J12" s="22" t="s">
        <v>568</v>
      </c>
    </row>
    <row r="13" ht="14.25" customHeight="1">
      <c r="A13" s="22" t="s">
        <v>578</v>
      </c>
      <c r="B13" s="22" t="s">
        <v>12</v>
      </c>
      <c r="C13" s="22" t="str">
        <f>+'2024_Transactions'!$D13&amp;'2024_Transactions'!$E13</f>
        <v>TyjaeSpears</v>
      </c>
      <c r="D13" s="23" t="s">
        <v>190</v>
      </c>
      <c r="E13" s="22" t="s">
        <v>191</v>
      </c>
      <c r="F13" s="22" t="s">
        <v>39</v>
      </c>
      <c r="G13" s="22" t="s">
        <v>32</v>
      </c>
      <c r="H13" s="22" t="s">
        <v>71</v>
      </c>
      <c r="I13" s="22" t="s">
        <v>564</v>
      </c>
      <c r="J13" s="22" t="s">
        <v>568</v>
      </c>
    </row>
    <row r="14" ht="14.25" customHeight="1">
      <c r="A14" s="22" t="s">
        <v>579</v>
      </c>
      <c r="B14" s="22" t="s">
        <v>13</v>
      </c>
      <c r="C14" s="22" t="str">
        <f>+'2024_Transactions'!$D14&amp;'2024_Transactions'!$E14</f>
        <v>AnthonyWalker</v>
      </c>
      <c r="D14" s="23" t="s">
        <v>370</v>
      </c>
      <c r="E14" s="22" t="s">
        <v>153</v>
      </c>
      <c r="F14" s="22" t="s">
        <v>563</v>
      </c>
      <c r="G14" s="22" t="s">
        <v>32</v>
      </c>
      <c r="H14" s="22" t="s">
        <v>58</v>
      </c>
      <c r="I14" s="22" t="s">
        <v>564</v>
      </c>
      <c r="J14" s="22" t="s">
        <v>568</v>
      </c>
    </row>
    <row r="15" ht="14.25" customHeight="1">
      <c r="A15" s="22" t="s">
        <v>579</v>
      </c>
      <c r="B15" s="22" t="s">
        <v>10</v>
      </c>
      <c r="C15" s="22" t="str">
        <f>+'2024_Transactions'!$D15&amp;'2024_Transactions'!$E15</f>
        <v>AnthonyRichardson</v>
      </c>
      <c r="D15" s="23" t="s">
        <v>370</v>
      </c>
      <c r="E15" s="22" t="s">
        <v>493</v>
      </c>
      <c r="F15" s="22" t="s">
        <v>29</v>
      </c>
      <c r="G15" s="22" t="s">
        <v>32</v>
      </c>
      <c r="H15" s="22" t="s">
        <v>105</v>
      </c>
      <c r="I15" s="22" t="s">
        <v>564</v>
      </c>
      <c r="J15" s="22" t="s">
        <v>568</v>
      </c>
    </row>
    <row r="16" ht="14.25" customHeight="1">
      <c r="A16" s="22" t="s">
        <v>580</v>
      </c>
      <c r="B16" s="22" t="s">
        <v>11</v>
      </c>
      <c r="C16" s="22" t="str">
        <f>+'2024_Transactions'!$D16&amp;'2024_Transactions'!$E16</f>
        <v>AdamThielen</v>
      </c>
      <c r="D16" s="22" t="s">
        <v>581</v>
      </c>
      <c r="E16" s="22" t="s">
        <v>582</v>
      </c>
      <c r="F16" s="22" t="s">
        <v>567</v>
      </c>
      <c r="G16" s="22" t="s">
        <v>32</v>
      </c>
      <c r="H16" s="22" t="s">
        <v>218</v>
      </c>
      <c r="I16" s="22" t="s">
        <v>564</v>
      </c>
      <c r="J16" s="22" t="s">
        <v>565</v>
      </c>
    </row>
    <row r="17" ht="14.25" customHeight="1">
      <c r="A17" s="22" t="s">
        <v>583</v>
      </c>
      <c r="B17" s="22" t="s">
        <v>11</v>
      </c>
      <c r="C17" s="22" t="str">
        <f>+'2024_Transactions'!$D17&amp;'2024_Transactions'!$E17</f>
        <v>De'VondreCampbell</v>
      </c>
      <c r="D17" s="22" t="s">
        <v>584</v>
      </c>
      <c r="E17" s="22" t="s">
        <v>140</v>
      </c>
      <c r="F17" s="22" t="s">
        <v>563</v>
      </c>
      <c r="G17" s="22" t="s">
        <v>32</v>
      </c>
      <c r="H17" s="22" t="s">
        <v>37</v>
      </c>
      <c r="I17" s="22" t="s">
        <v>564</v>
      </c>
      <c r="J17" s="22" t="s">
        <v>565</v>
      </c>
    </row>
    <row r="18" ht="14.25" customHeight="1">
      <c r="A18" s="22" t="s">
        <v>585</v>
      </c>
      <c r="B18" s="22" t="s">
        <v>11</v>
      </c>
      <c r="C18" s="22" t="str">
        <f>+'2024_Transactions'!$D18&amp;'2024_Transactions'!$E18</f>
        <v>AlexanderMattison</v>
      </c>
      <c r="D18" s="23" t="s">
        <v>404</v>
      </c>
      <c r="E18" s="22" t="s">
        <v>405</v>
      </c>
      <c r="F18" s="22" t="s">
        <v>39</v>
      </c>
      <c r="G18" s="22" t="s">
        <v>32</v>
      </c>
      <c r="H18" s="22" t="s">
        <v>76</v>
      </c>
      <c r="I18" s="22" t="s">
        <v>564</v>
      </c>
      <c r="J18" s="22" t="s">
        <v>568</v>
      </c>
    </row>
    <row r="19" ht="14.25" customHeight="1">
      <c r="A19" s="22" t="s">
        <v>585</v>
      </c>
      <c r="B19" s="22" t="s">
        <v>11</v>
      </c>
      <c r="C19" s="22" t="str">
        <f>+'2024_Transactions'!$D19&amp;'2024_Transactions'!$E19</f>
        <v>KendreMiller</v>
      </c>
      <c r="D19" s="22" t="s">
        <v>406</v>
      </c>
      <c r="E19" s="22" t="s">
        <v>407</v>
      </c>
      <c r="F19" s="22" t="s">
        <v>39</v>
      </c>
      <c r="G19" s="22" t="s">
        <v>32</v>
      </c>
      <c r="H19" s="22" t="s">
        <v>33</v>
      </c>
      <c r="I19" s="22" t="s">
        <v>564</v>
      </c>
      <c r="J19" s="22" t="s">
        <v>568</v>
      </c>
    </row>
    <row r="20" ht="14.25" customHeight="1">
      <c r="A20" s="22" t="s">
        <v>585</v>
      </c>
      <c r="B20" s="22" t="s">
        <v>13</v>
      </c>
      <c r="C20" s="22" t="str">
        <f>+'2024_Transactions'!$D20&amp;'2024_Transactions'!$E20</f>
        <v>AlexHighsmith</v>
      </c>
      <c r="D20" s="23" t="s">
        <v>120</v>
      </c>
      <c r="E20" s="22" t="s">
        <v>366</v>
      </c>
      <c r="F20" s="22" t="s">
        <v>563</v>
      </c>
      <c r="G20" s="22" t="s">
        <v>32</v>
      </c>
      <c r="H20" s="22" t="s">
        <v>170</v>
      </c>
      <c r="I20" s="22" t="s">
        <v>564</v>
      </c>
      <c r="J20" s="22" t="s">
        <v>568</v>
      </c>
    </row>
    <row r="21" ht="14.25" customHeight="1">
      <c r="A21" s="22" t="s">
        <v>585</v>
      </c>
      <c r="B21" s="22" t="s">
        <v>11</v>
      </c>
      <c r="C21" s="22" t="str">
        <f>+'2024_Transactions'!$D21&amp;'2024_Transactions'!$E21</f>
        <v>AdamThielen</v>
      </c>
      <c r="D21" s="22" t="s">
        <v>581</v>
      </c>
      <c r="E21" s="22" t="s">
        <v>582</v>
      </c>
      <c r="F21" s="22" t="s">
        <v>567</v>
      </c>
      <c r="G21" s="22" t="s">
        <v>32</v>
      </c>
      <c r="H21" s="22" t="s">
        <v>218</v>
      </c>
      <c r="I21" s="22" t="s">
        <v>564</v>
      </c>
      <c r="J21" s="22" t="s">
        <v>568</v>
      </c>
    </row>
    <row r="22" ht="14.25" customHeight="1">
      <c r="A22" s="22" t="s">
        <v>585</v>
      </c>
      <c r="B22" s="22" t="s">
        <v>13</v>
      </c>
      <c r="C22" s="22" t="str">
        <f>+'2024_Transactions'!$D22&amp;'2024_Transactions'!$E22</f>
        <v>EdgerrinCooper</v>
      </c>
      <c r="D22" s="23" t="s">
        <v>346</v>
      </c>
      <c r="E22" s="22" t="s">
        <v>92</v>
      </c>
      <c r="F22" s="22" t="s">
        <v>563</v>
      </c>
      <c r="G22" s="22" t="s">
        <v>32</v>
      </c>
      <c r="H22" s="22" t="s">
        <v>45</v>
      </c>
      <c r="I22" s="22" t="s">
        <v>564</v>
      </c>
      <c r="J22" s="22" t="s">
        <v>568</v>
      </c>
    </row>
    <row r="23" ht="14.25" customHeight="1">
      <c r="A23" s="22" t="s">
        <v>585</v>
      </c>
      <c r="B23" s="22" t="s">
        <v>10</v>
      </c>
      <c r="C23" s="22" t="str">
        <f>+'2024_Transactions'!$D23&amp;'2024_Transactions'!$E23</f>
        <v>Za'DariusSmith</v>
      </c>
      <c r="D23" s="23" t="s">
        <v>509</v>
      </c>
      <c r="E23" s="22" t="s">
        <v>187</v>
      </c>
      <c r="F23" s="22" t="s">
        <v>563</v>
      </c>
      <c r="G23" s="22" t="s">
        <v>32</v>
      </c>
      <c r="H23" s="22" t="s">
        <v>141</v>
      </c>
      <c r="I23" s="22" t="s">
        <v>564</v>
      </c>
      <c r="J23" s="22" t="s">
        <v>568</v>
      </c>
    </row>
    <row r="24" ht="14.25" customHeight="1">
      <c r="A24" s="22" t="s">
        <v>585</v>
      </c>
      <c r="B24" s="22" t="s">
        <v>10</v>
      </c>
      <c r="C24" s="22" t="str">
        <f>+'2024_Transactions'!$D24&amp;'2024_Transactions'!$E24</f>
        <v>JeromeFord</v>
      </c>
      <c r="D24" s="23" t="s">
        <v>450</v>
      </c>
      <c r="E24" s="22" t="s">
        <v>471</v>
      </c>
      <c r="F24" s="22" t="s">
        <v>39</v>
      </c>
      <c r="G24" s="22" t="s">
        <v>32</v>
      </c>
      <c r="H24" s="22" t="s">
        <v>42</v>
      </c>
      <c r="I24" s="22" t="s">
        <v>564</v>
      </c>
      <c r="J24" s="22" t="s">
        <v>568</v>
      </c>
    </row>
    <row r="25" ht="14.25" customHeight="1">
      <c r="A25" s="22" t="s">
        <v>585</v>
      </c>
      <c r="B25" s="22" t="s">
        <v>6</v>
      </c>
      <c r="C25" s="22" t="str">
        <f>+'2024_Transactions'!$D25&amp;'2024_Transactions'!$E25</f>
        <v>MichaelPenixJr.</v>
      </c>
      <c r="D25" s="23" t="s">
        <v>323</v>
      </c>
      <c r="E25" s="22" t="s">
        <v>586</v>
      </c>
      <c r="F25" s="22" t="s">
        <v>29</v>
      </c>
      <c r="G25" s="22" t="s">
        <v>32</v>
      </c>
      <c r="H25" s="22" t="s">
        <v>63</v>
      </c>
      <c r="I25" s="22" t="s">
        <v>564</v>
      </c>
      <c r="J25" s="22" t="s">
        <v>568</v>
      </c>
    </row>
    <row r="26" ht="14.25" customHeight="1">
      <c r="A26" s="22" t="s">
        <v>587</v>
      </c>
      <c r="B26" s="22" t="s">
        <v>8</v>
      </c>
      <c r="C26" s="22" t="str">
        <f>+'2024_Transactions'!$D26&amp;'2024_Transactions'!$E26</f>
        <v>JeremyChinn</v>
      </c>
      <c r="D26" s="22" t="s">
        <v>588</v>
      </c>
      <c r="E26" s="22" t="s">
        <v>589</v>
      </c>
      <c r="F26" s="22" t="s">
        <v>573</v>
      </c>
      <c r="G26" s="22" t="s">
        <v>32</v>
      </c>
      <c r="H26" s="22" t="s">
        <v>98</v>
      </c>
      <c r="I26" s="22" t="s">
        <v>564</v>
      </c>
      <c r="J26" s="22" t="s">
        <v>565</v>
      </c>
    </row>
    <row r="27" ht="14.25" customHeight="1">
      <c r="A27" s="22" t="s">
        <v>587</v>
      </c>
      <c r="B27" s="22" t="s">
        <v>12</v>
      </c>
      <c r="C27" s="22" t="str">
        <f>+'2024_Transactions'!$D27&amp;'2024_Transactions'!$E27</f>
        <v>IsaiahDavis</v>
      </c>
      <c r="D27" s="23" t="s">
        <v>590</v>
      </c>
      <c r="E27" s="22" t="s">
        <v>530</v>
      </c>
      <c r="F27" s="22" t="s">
        <v>39</v>
      </c>
      <c r="G27" s="22" t="s">
        <v>32</v>
      </c>
      <c r="H27" s="22" t="s">
        <v>49</v>
      </c>
      <c r="I27" s="22" t="s">
        <v>564</v>
      </c>
      <c r="J27" s="22" t="s">
        <v>568</v>
      </c>
    </row>
    <row r="28" ht="14.25" customHeight="1">
      <c r="A28" s="22" t="s">
        <v>591</v>
      </c>
      <c r="B28" s="22" t="s">
        <v>8</v>
      </c>
      <c r="C28" s="22" t="str">
        <f>+'2024_Transactions'!$D28&amp;'2024_Transactions'!$E28</f>
        <v>YounghoeKoo</v>
      </c>
      <c r="D28" s="23" t="s">
        <v>137</v>
      </c>
      <c r="E28" s="22" t="s">
        <v>138</v>
      </c>
      <c r="F28" s="22" t="s">
        <v>55</v>
      </c>
      <c r="G28" s="22" t="s">
        <v>32</v>
      </c>
      <c r="H28" s="22" t="s">
        <v>63</v>
      </c>
      <c r="I28" s="22" t="s">
        <v>564</v>
      </c>
      <c r="J28" s="22" t="s">
        <v>568</v>
      </c>
    </row>
    <row r="29" ht="14.25" customHeight="1">
      <c r="A29" s="22" t="s">
        <v>592</v>
      </c>
      <c r="B29" s="22" t="s">
        <v>10</v>
      </c>
      <c r="C29" s="22" t="str">
        <f>+'2024_Transactions'!$D29&amp;'2024_Transactions'!$E29</f>
        <v>CamrynBynum</v>
      </c>
      <c r="D29" s="23" t="s">
        <v>499</v>
      </c>
      <c r="E29" s="22" t="s">
        <v>500</v>
      </c>
      <c r="F29" s="22" t="s">
        <v>573</v>
      </c>
      <c r="G29" s="22" t="s">
        <v>32</v>
      </c>
      <c r="H29" s="22" t="s">
        <v>79</v>
      </c>
      <c r="I29" s="22" t="s">
        <v>564</v>
      </c>
      <c r="J29" s="22" t="s">
        <v>568</v>
      </c>
    </row>
    <row r="30" ht="14.25" customHeight="1">
      <c r="A30" s="22" t="s">
        <v>593</v>
      </c>
      <c r="B30" s="22" t="s">
        <v>13</v>
      </c>
      <c r="C30" s="22" t="str">
        <f>+'2024_Transactions'!$D30&amp;'2024_Transactions'!$E30</f>
        <v>LukeGifford</v>
      </c>
      <c r="D30" s="22" t="s">
        <v>364</v>
      </c>
      <c r="E30" s="22" t="s">
        <v>365</v>
      </c>
      <c r="F30" s="22" t="s">
        <v>563</v>
      </c>
      <c r="G30" s="22" t="s">
        <v>32</v>
      </c>
      <c r="H30" s="22" t="s">
        <v>71</v>
      </c>
      <c r="I30" s="22" t="s">
        <v>564</v>
      </c>
      <c r="J30" s="22" t="s">
        <v>568</v>
      </c>
    </row>
    <row r="31" ht="14.25" customHeight="1">
      <c r="A31" s="22" t="s">
        <v>594</v>
      </c>
      <c r="B31" s="22" t="s">
        <v>12</v>
      </c>
      <c r="C31" s="22" t="str">
        <f>+'2024_Transactions'!$D31&amp;'2024_Transactions'!$E31</f>
        <v>IsaiahMcDuffie</v>
      </c>
      <c r="D31" s="23" t="s">
        <v>590</v>
      </c>
      <c r="E31" s="22" t="s">
        <v>595</v>
      </c>
      <c r="F31" s="22" t="s">
        <v>563</v>
      </c>
      <c r="G31" s="22" t="s">
        <v>32</v>
      </c>
      <c r="H31" s="22" t="s">
        <v>45</v>
      </c>
      <c r="I31" s="22" t="s">
        <v>564</v>
      </c>
      <c r="J31" s="22" t="s">
        <v>568</v>
      </c>
    </row>
    <row r="32" ht="14.25" customHeight="1">
      <c r="A32" s="22" t="s">
        <v>594</v>
      </c>
      <c r="B32" s="22" t="s">
        <v>11</v>
      </c>
      <c r="C32" s="22" t="str">
        <f>+'2024_Transactions'!$D32&amp;'2024_Transactions'!$E32</f>
        <v>BryceYoung</v>
      </c>
      <c r="D32" s="23" t="s">
        <v>377</v>
      </c>
      <c r="E32" s="22" t="s">
        <v>378</v>
      </c>
      <c r="F32" s="22" t="s">
        <v>29</v>
      </c>
      <c r="G32" s="22" t="s">
        <v>32</v>
      </c>
      <c r="H32" s="22" t="s">
        <v>218</v>
      </c>
      <c r="I32" s="22" t="s">
        <v>564</v>
      </c>
      <c r="J32" s="22" t="s">
        <v>568</v>
      </c>
    </row>
    <row r="33" ht="14.25" customHeight="1">
      <c r="A33" s="22" t="s">
        <v>596</v>
      </c>
      <c r="B33" s="22" t="s">
        <v>8</v>
      </c>
      <c r="C33" s="22" t="str">
        <f>+'2024_Transactions'!$D33&amp;'2024_Transactions'!$E33</f>
        <v>AlexanderMattison</v>
      </c>
      <c r="D33" s="22" t="s">
        <v>404</v>
      </c>
      <c r="E33" s="22" t="s">
        <v>405</v>
      </c>
      <c r="F33" s="22" t="s">
        <v>39</v>
      </c>
      <c r="G33" s="22" t="s">
        <v>32</v>
      </c>
      <c r="H33" s="22" t="s">
        <v>76</v>
      </c>
      <c r="I33" s="22" t="s">
        <v>564</v>
      </c>
      <c r="J33" s="22" t="s">
        <v>565</v>
      </c>
    </row>
    <row r="34" ht="14.25" customHeight="1">
      <c r="A34" s="22" t="s">
        <v>596</v>
      </c>
      <c r="B34" s="22" t="s">
        <v>8</v>
      </c>
      <c r="C34" s="22" t="str">
        <f>+'2024_Transactions'!$D34&amp;'2024_Transactions'!$E34</f>
        <v>WillLevis</v>
      </c>
      <c r="D34" s="22" t="s">
        <v>430</v>
      </c>
      <c r="E34" s="22" t="s">
        <v>597</v>
      </c>
      <c r="F34" s="22" t="s">
        <v>29</v>
      </c>
      <c r="G34" s="22" t="s">
        <v>32</v>
      </c>
      <c r="H34" s="22" t="s">
        <v>71</v>
      </c>
      <c r="I34" s="22" t="s">
        <v>564</v>
      </c>
      <c r="J34" s="22" t="s">
        <v>565</v>
      </c>
    </row>
    <row r="35" ht="14.25" customHeight="1">
      <c r="A35" s="22" t="s">
        <v>598</v>
      </c>
      <c r="B35" s="22" t="s">
        <v>10</v>
      </c>
      <c r="C35" s="22" t="str">
        <f>+'2024_Transactions'!$D35&amp;'2024_Transactions'!$E35</f>
        <v>OdafeOweh</v>
      </c>
      <c r="D35" s="23" t="s">
        <v>599</v>
      </c>
      <c r="E35" s="22" t="s">
        <v>600</v>
      </c>
      <c r="F35" s="22" t="s">
        <v>563</v>
      </c>
      <c r="G35" s="22" t="s">
        <v>32</v>
      </c>
      <c r="H35" s="22" t="s">
        <v>179</v>
      </c>
      <c r="I35" s="22" t="s">
        <v>564</v>
      </c>
      <c r="J35" s="22" t="s">
        <v>568</v>
      </c>
    </row>
    <row r="36" ht="14.25" customHeight="1">
      <c r="A36" s="22" t="s">
        <v>598</v>
      </c>
      <c r="B36" s="22" t="s">
        <v>10</v>
      </c>
      <c r="C36" s="22" t="str">
        <f>+'2024_Transactions'!$D36&amp;'2024_Transactions'!$E36</f>
        <v>DamarHamlin</v>
      </c>
      <c r="D36" s="23" t="s">
        <v>505</v>
      </c>
      <c r="E36" s="22" t="s">
        <v>506</v>
      </c>
      <c r="F36" s="22" t="s">
        <v>573</v>
      </c>
      <c r="G36" s="22" t="s">
        <v>32</v>
      </c>
      <c r="H36" s="22" t="s">
        <v>93</v>
      </c>
      <c r="I36" s="22" t="s">
        <v>564</v>
      </c>
      <c r="J36" s="22" t="s">
        <v>568</v>
      </c>
    </row>
    <row r="37" ht="14.25" customHeight="1">
      <c r="A37" s="22" t="s">
        <v>598</v>
      </c>
      <c r="B37" s="22" t="s">
        <v>13</v>
      </c>
      <c r="C37" s="22" t="str">
        <f>+'2024_Transactions'!$D37&amp;'2024_Transactions'!$E37</f>
        <v>MaristLiufau</v>
      </c>
      <c r="D37" s="23" t="s">
        <v>561</v>
      </c>
      <c r="E37" s="22" t="s">
        <v>562</v>
      </c>
      <c r="F37" s="22" t="s">
        <v>563</v>
      </c>
      <c r="G37" s="22" t="s">
        <v>32</v>
      </c>
      <c r="H37" s="22" t="s">
        <v>87</v>
      </c>
      <c r="I37" s="22" t="s">
        <v>564</v>
      </c>
      <c r="J37" s="22" t="s">
        <v>568</v>
      </c>
    </row>
    <row r="38" ht="14.25" customHeight="1">
      <c r="A38" s="22" t="s">
        <v>598</v>
      </c>
      <c r="B38" s="22" t="s">
        <v>8</v>
      </c>
      <c r="C38" s="22" t="str">
        <f>+'2024_Transactions'!$D38&amp;'2024_Transactions'!$E38</f>
        <v>DariusMuasau</v>
      </c>
      <c r="D38" s="22" t="s">
        <v>175</v>
      </c>
      <c r="E38" s="22" t="s">
        <v>176</v>
      </c>
      <c r="F38" s="22" t="s">
        <v>563</v>
      </c>
      <c r="G38" s="22" t="s">
        <v>32</v>
      </c>
      <c r="H38" s="22" t="s">
        <v>82</v>
      </c>
      <c r="I38" s="22" t="s">
        <v>564</v>
      </c>
      <c r="J38" s="22" t="s">
        <v>568</v>
      </c>
    </row>
    <row r="39" ht="14.25" customHeight="1">
      <c r="A39" s="22" t="s">
        <v>598</v>
      </c>
      <c r="B39" s="22" t="s">
        <v>8</v>
      </c>
      <c r="C39" s="22" t="str">
        <f>+'2024_Transactions'!$D39&amp;'2024_Transactions'!$E39</f>
        <v>PatrickTaylor</v>
      </c>
      <c r="D39" s="22" t="s">
        <v>160</v>
      </c>
      <c r="E39" s="22" t="s">
        <v>161</v>
      </c>
      <c r="F39" s="22" t="s">
        <v>39</v>
      </c>
      <c r="G39" s="22" t="s">
        <v>32</v>
      </c>
      <c r="H39" s="22" t="s">
        <v>37</v>
      </c>
      <c r="I39" s="22" t="s">
        <v>564</v>
      </c>
      <c r="J39" s="22" t="s">
        <v>568</v>
      </c>
    </row>
    <row r="40" ht="14.25" customHeight="1">
      <c r="A40" s="22" t="s">
        <v>601</v>
      </c>
      <c r="B40" s="22" t="s">
        <v>13</v>
      </c>
      <c r="C40" s="22" t="str">
        <f>+'2024_Transactions'!$D40&amp;'2024_Transactions'!$E40</f>
        <v>GregRousseau</v>
      </c>
      <c r="D40" s="23" t="s">
        <v>602</v>
      </c>
      <c r="E40" s="22" t="s">
        <v>603</v>
      </c>
      <c r="F40" s="22" t="s">
        <v>604</v>
      </c>
      <c r="G40" s="22" t="s">
        <v>32</v>
      </c>
      <c r="H40" s="22" t="s">
        <v>93</v>
      </c>
      <c r="I40" s="22" t="s">
        <v>564</v>
      </c>
      <c r="J40" s="22" t="s">
        <v>568</v>
      </c>
    </row>
    <row r="41" ht="14.25" customHeight="1">
      <c r="A41" s="22" t="s">
        <v>605</v>
      </c>
      <c r="B41" s="22" t="s">
        <v>8</v>
      </c>
      <c r="C41" s="22" t="str">
        <f>+'2024_Transactions'!$D41&amp;'2024_Transactions'!$E41</f>
        <v>JonathanGreenard</v>
      </c>
      <c r="D41" s="23" t="s">
        <v>142</v>
      </c>
      <c r="E41" s="22" t="s">
        <v>143</v>
      </c>
      <c r="F41" s="22" t="s">
        <v>604</v>
      </c>
      <c r="G41" s="22" t="s">
        <v>32</v>
      </c>
      <c r="H41" s="22" t="s">
        <v>79</v>
      </c>
      <c r="I41" s="22" t="s">
        <v>564</v>
      </c>
      <c r="J41" s="22" t="s">
        <v>568</v>
      </c>
    </row>
    <row r="42" ht="14.25" customHeight="1">
      <c r="A42" s="22" t="s">
        <v>606</v>
      </c>
      <c r="B42" s="22" t="s">
        <v>11</v>
      </c>
      <c r="C42" s="22" t="str">
        <f>+'2024_Transactions'!$D42&amp;'2024_Transactions'!$E42</f>
        <v>WillReichard</v>
      </c>
      <c r="D42" s="22" t="s">
        <v>430</v>
      </c>
      <c r="E42" s="22" t="s">
        <v>607</v>
      </c>
      <c r="F42" s="22" t="s">
        <v>55</v>
      </c>
      <c r="G42" s="22" t="s">
        <v>32</v>
      </c>
      <c r="H42" s="22" t="s">
        <v>79</v>
      </c>
      <c r="I42" s="22" t="s">
        <v>564</v>
      </c>
      <c r="J42" s="22" t="s">
        <v>565</v>
      </c>
    </row>
    <row r="43" ht="14.25" customHeight="1">
      <c r="A43" s="22" t="s">
        <v>608</v>
      </c>
      <c r="B43" s="22" t="s">
        <v>12</v>
      </c>
      <c r="C43" s="22" t="str">
        <f>+'2024_Transactions'!$D43&amp;'2024_Transactions'!$E43</f>
        <v>ChadRyland</v>
      </c>
      <c r="D43" s="23" t="s">
        <v>609</v>
      </c>
      <c r="E43" s="22" t="s">
        <v>610</v>
      </c>
      <c r="F43" s="22" t="s">
        <v>55</v>
      </c>
      <c r="G43" s="22" t="s">
        <v>32</v>
      </c>
      <c r="H43" s="22" t="s">
        <v>213</v>
      </c>
      <c r="I43" s="22" t="s">
        <v>564</v>
      </c>
      <c r="J43" s="22" t="s">
        <v>568</v>
      </c>
    </row>
    <row r="44" ht="14.25" customHeight="1">
      <c r="A44" s="22" t="s">
        <v>608</v>
      </c>
      <c r="B44" s="22" t="s">
        <v>10</v>
      </c>
      <c r="C44" s="22" t="str">
        <f>+'2024_Transactions'!$D44&amp;'2024_Transactions'!$E44</f>
        <v>MatthewWright</v>
      </c>
      <c r="D44" s="22" t="s">
        <v>518</v>
      </c>
      <c r="E44" s="22" t="s">
        <v>611</v>
      </c>
      <c r="F44" s="22" t="s">
        <v>55</v>
      </c>
      <c r="G44" s="22" t="s">
        <v>32</v>
      </c>
      <c r="H44" s="22" t="s">
        <v>218</v>
      </c>
      <c r="I44" s="22" t="s">
        <v>564</v>
      </c>
      <c r="J44" s="22" t="s">
        <v>568</v>
      </c>
    </row>
    <row r="45" ht="14.25" customHeight="1">
      <c r="A45" s="22" t="s">
        <v>612</v>
      </c>
      <c r="B45" s="22" t="s">
        <v>12</v>
      </c>
      <c r="C45" s="22" t="str">
        <f>+'2024_Transactions'!$D45&amp;'2024_Transactions'!$E45</f>
        <v>JohnParker Romo</v>
      </c>
      <c r="D45" s="23" t="s">
        <v>613</v>
      </c>
      <c r="E45" s="22" t="s">
        <v>614</v>
      </c>
      <c r="F45" s="22" t="s">
        <v>55</v>
      </c>
      <c r="G45" s="22" t="s">
        <v>32</v>
      </c>
      <c r="H45" s="22" t="s">
        <v>444</v>
      </c>
      <c r="I45" s="22" t="s">
        <v>564</v>
      </c>
      <c r="J45" s="22" t="s">
        <v>568</v>
      </c>
    </row>
    <row r="46" ht="14.25" customHeight="1">
      <c r="A46" s="22" t="s">
        <v>612</v>
      </c>
      <c r="B46" s="22" t="s">
        <v>11</v>
      </c>
      <c r="C46" s="22" t="str">
        <f>+'2024_Transactions'!$D46&amp;'2024_Transactions'!$E46</f>
        <v>JasonMyers</v>
      </c>
      <c r="D46" s="23" t="s">
        <v>56</v>
      </c>
      <c r="E46" s="22" t="s">
        <v>412</v>
      </c>
      <c r="F46" s="22" t="s">
        <v>55</v>
      </c>
      <c r="G46" s="22" t="s">
        <v>32</v>
      </c>
      <c r="H46" s="22" t="s">
        <v>110</v>
      </c>
      <c r="I46" s="22" t="s">
        <v>564</v>
      </c>
      <c r="J46" s="22" t="s">
        <v>568</v>
      </c>
    </row>
    <row r="47" ht="14.25" customHeight="1">
      <c r="A47" s="22" t="s">
        <v>612</v>
      </c>
      <c r="B47" s="22" t="s">
        <v>10</v>
      </c>
      <c r="C47" s="22" t="str">
        <f>+'2024_Transactions'!$D47&amp;'2024_Transactions'!$E47</f>
        <v>SincereMcCormick</v>
      </c>
      <c r="D47" s="23" t="s">
        <v>615</v>
      </c>
      <c r="E47" s="22" t="s">
        <v>616</v>
      </c>
      <c r="F47" s="22" t="s">
        <v>39</v>
      </c>
      <c r="G47" s="22" t="s">
        <v>32</v>
      </c>
      <c r="H47" s="22" t="s">
        <v>76</v>
      </c>
      <c r="I47" s="22" t="s">
        <v>564</v>
      </c>
      <c r="J47" s="22" t="s">
        <v>568</v>
      </c>
    </row>
    <row r="48" ht="14.25" customHeight="1">
      <c r="A48" s="22" t="s">
        <v>617</v>
      </c>
      <c r="B48" s="22" t="s">
        <v>6</v>
      </c>
      <c r="C48" s="22" t="str">
        <f>+'2024_Transactions'!$D48&amp;'2024_Transactions'!$E48</f>
        <v>MikeWilliams</v>
      </c>
      <c r="D48" s="22" t="s">
        <v>423</v>
      </c>
      <c r="E48" s="22" t="s">
        <v>297</v>
      </c>
      <c r="F48" s="22" t="s">
        <v>567</v>
      </c>
      <c r="G48" s="22" t="s">
        <v>32</v>
      </c>
      <c r="H48" s="22" t="s">
        <v>170</v>
      </c>
      <c r="I48" s="22" t="s">
        <v>564</v>
      </c>
      <c r="J48" s="22" t="s">
        <v>565</v>
      </c>
    </row>
    <row r="49" ht="14.25" customHeight="1">
      <c r="A49" s="22" t="s">
        <v>618</v>
      </c>
      <c r="B49" s="22" t="s">
        <v>8</v>
      </c>
      <c r="C49" s="22" t="str">
        <f>+'2024_Transactions'!$D49&amp;'2024_Transactions'!$E49</f>
        <v>JordanMason</v>
      </c>
      <c r="D49" s="22" t="s">
        <v>334</v>
      </c>
      <c r="E49" s="22" t="s">
        <v>619</v>
      </c>
      <c r="F49" s="22" t="s">
        <v>39</v>
      </c>
      <c r="G49" s="22" t="s">
        <v>32</v>
      </c>
      <c r="H49" s="22" t="s">
        <v>37</v>
      </c>
      <c r="I49" s="22" t="s">
        <v>564</v>
      </c>
      <c r="J49" s="22" t="s">
        <v>565</v>
      </c>
    </row>
    <row r="50" ht="14.25" customHeight="1">
      <c r="A50" s="22" t="s">
        <v>620</v>
      </c>
      <c r="B50" s="22" t="s">
        <v>8</v>
      </c>
      <c r="C50" s="22" t="str">
        <f>+'2024_Transactions'!$D50&amp;'2024_Transactions'!$E50</f>
        <v>YounghoeKoo</v>
      </c>
      <c r="D50" s="22" t="s">
        <v>137</v>
      </c>
      <c r="E50" s="22" t="s">
        <v>138</v>
      </c>
      <c r="F50" s="22" t="s">
        <v>55</v>
      </c>
      <c r="G50" s="22" t="s">
        <v>32</v>
      </c>
      <c r="H50" s="22" t="s">
        <v>63</v>
      </c>
      <c r="I50" s="22" t="s">
        <v>564</v>
      </c>
      <c r="J50" s="22" t="s">
        <v>565</v>
      </c>
    </row>
    <row r="51" ht="14.25" customHeight="1">
      <c r="A51" s="22" t="s">
        <v>621</v>
      </c>
      <c r="B51" s="22" t="s">
        <v>4</v>
      </c>
      <c r="C51" s="22" t="str">
        <f>+'2024_Transactions'!$D51&amp;'2024_Transactions'!$E51</f>
        <v>RayshawnJenkins</v>
      </c>
      <c r="D51" s="22" t="s">
        <v>622</v>
      </c>
      <c r="E51" s="22" t="s">
        <v>623</v>
      </c>
      <c r="F51" s="22" t="s">
        <v>573</v>
      </c>
      <c r="G51" s="22" t="s">
        <v>32</v>
      </c>
      <c r="H51" s="22" t="s">
        <v>110</v>
      </c>
      <c r="I51" s="22" t="s">
        <v>564</v>
      </c>
      <c r="J51" s="22" t="s">
        <v>565</v>
      </c>
    </row>
    <row r="52" ht="14.25" customHeight="1">
      <c r="A52" s="22" t="s">
        <v>624</v>
      </c>
      <c r="B52" s="22" t="s">
        <v>13</v>
      </c>
      <c r="C52" s="22" t="str">
        <f>+'2024_Transactions'!$D52&amp;'2024_Transactions'!$E52</f>
        <v>RaheemMostert</v>
      </c>
      <c r="D52" s="22" t="s">
        <v>625</v>
      </c>
      <c r="E52" s="22" t="s">
        <v>626</v>
      </c>
      <c r="F52" s="22" t="s">
        <v>39</v>
      </c>
      <c r="G52" s="22" t="s">
        <v>32</v>
      </c>
      <c r="H52" s="22" t="s">
        <v>58</v>
      </c>
      <c r="I52" s="22" t="s">
        <v>564</v>
      </c>
      <c r="J52" s="22" t="s">
        <v>565</v>
      </c>
    </row>
    <row r="53" ht="14.25" customHeight="1">
      <c r="A53" s="22" t="s">
        <v>624</v>
      </c>
      <c r="B53" s="22" t="s">
        <v>13</v>
      </c>
      <c r="C53" s="22" t="str">
        <f>+'2024_Transactions'!$D53&amp;'2024_Transactions'!$E53</f>
        <v>WilLutz</v>
      </c>
      <c r="D53" s="22" t="s">
        <v>627</v>
      </c>
      <c r="E53" s="22" t="s">
        <v>628</v>
      </c>
      <c r="F53" s="22" t="s">
        <v>55</v>
      </c>
      <c r="G53" s="22" t="s">
        <v>32</v>
      </c>
      <c r="H53" s="22" t="s">
        <v>103</v>
      </c>
      <c r="I53" s="22" t="s">
        <v>564</v>
      </c>
      <c r="J53" s="22" t="s">
        <v>565</v>
      </c>
    </row>
    <row r="54" ht="14.25" customHeight="1">
      <c r="A54" s="22" t="s">
        <v>629</v>
      </c>
      <c r="B54" s="22" t="s">
        <v>12</v>
      </c>
      <c r="C54" s="22" t="str">
        <f>+'2024_Transactions'!$D54&amp;'2024_Transactions'!$E54</f>
        <v>BrandinCooks</v>
      </c>
      <c r="D54" s="23" t="s">
        <v>630</v>
      </c>
      <c r="E54" s="22" t="s">
        <v>631</v>
      </c>
      <c r="F54" s="22" t="s">
        <v>567</v>
      </c>
      <c r="G54" s="22" t="s">
        <v>32</v>
      </c>
      <c r="H54" s="22" t="s">
        <v>87</v>
      </c>
      <c r="I54" s="22" t="s">
        <v>564</v>
      </c>
      <c r="J54" s="22" t="s">
        <v>568</v>
      </c>
    </row>
    <row r="55" ht="14.25" customHeight="1">
      <c r="A55" s="22" t="s">
        <v>629</v>
      </c>
      <c r="B55" s="22" t="s">
        <v>11</v>
      </c>
      <c r="C55" s="22" t="str">
        <f>+'2024_Transactions'!$D55&amp;'2024_Transactions'!$E55</f>
        <v>EvanMcPherson</v>
      </c>
      <c r="D55" s="23" t="s">
        <v>632</v>
      </c>
      <c r="E55" s="22" t="s">
        <v>633</v>
      </c>
      <c r="F55" s="22" t="s">
        <v>55</v>
      </c>
      <c r="G55" s="22" t="s">
        <v>32</v>
      </c>
      <c r="H55" s="22" t="s">
        <v>119</v>
      </c>
      <c r="I55" s="22" t="s">
        <v>564</v>
      </c>
      <c r="J55" s="22" t="s">
        <v>568</v>
      </c>
    </row>
    <row r="56" ht="14.25" customHeight="1">
      <c r="A56" s="22" t="s">
        <v>629</v>
      </c>
      <c r="B56" s="22" t="s">
        <v>6</v>
      </c>
      <c r="C56" s="22" t="str">
        <f>+'2024_Transactions'!$D56&amp;'2024_Transactions'!$E56</f>
        <v>HarrisonSmith</v>
      </c>
      <c r="D56" s="22" t="s">
        <v>253</v>
      </c>
      <c r="E56" s="22" t="s">
        <v>187</v>
      </c>
      <c r="F56" s="22" t="s">
        <v>573</v>
      </c>
      <c r="G56" s="22" t="s">
        <v>32</v>
      </c>
      <c r="H56" s="22" t="s">
        <v>79</v>
      </c>
      <c r="I56" s="22" t="s">
        <v>564</v>
      </c>
      <c r="J56" s="22" t="s">
        <v>568</v>
      </c>
    </row>
    <row r="57" ht="14.25" customHeight="1">
      <c r="A57" s="22" t="s">
        <v>629</v>
      </c>
      <c r="B57" s="22" t="s">
        <v>13</v>
      </c>
      <c r="C57" s="22" t="str">
        <f>+'2024_Transactions'!$D57&amp;'2024_Transactions'!$E57</f>
        <v>TylerBass</v>
      </c>
      <c r="D57" s="22" t="s">
        <v>280</v>
      </c>
      <c r="E57" s="22" t="s">
        <v>342</v>
      </c>
      <c r="F57" s="22" t="s">
        <v>55</v>
      </c>
      <c r="G57" s="22" t="s">
        <v>32</v>
      </c>
      <c r="H57" s="22" t="s">
        <v>93</v>
      </c>
      <c r="I57" s="22" t="s">
        <v>564</v>
      </c>
      <c r="J57" s="22" t="s">
        <v>568</v>
      </c>
    </row>
    <row r="58" ht="14.25" customHeight="1">
      <c r="A58" s="22" t="s">
        <v>629</v>
      </c>
      <c r="B58" s="22" t="s">
        <v>8</v>
      </c>
      <c r="C58" s="22" t="str">
        <f>+'2024_Transactions'!$D58&amp;'2024_Transactions'!$E58</f>
        <v>BrandonMcManus</v>
      </c>
      <c r="D58" s="22" t="s">
        <v>101</v>
      </c>
      <c r="E58" s="22" t="s">
        <v>634</v>
      </c>
      <c r="F58" s="22" t="s">
        <v>55</v>
      </c>
      <c r="G58" s="22" t="s">
        <v>32</v>
      </c>
      <c r="H58" s="22" t="s">
        <v>45</v>
      </c>
      <c r="I58" s="22" t="s">
        <v>564</v>
      </c>
      <c r="J58" s="22" t="s">
        <v>568</v>
      </c>
    </row>
    <row r="59" ht="14.25" customHeight="1">
      <c r="A59" s="22" t="s">
        <v>629</v>
      </c>
      <c r="B59" s="22" t="s">
        <v>12</v>
      </c>
      <c r="C59" s="22" t="str">
        <f>+'2024_Transactions'!$D59&amp;'2024_Transactions'!$E59</f>
        <v>NevilleHewitt</v>
      </c>
      <c r="D59" s="23" t="s">
        <v>575</v>
      </c>
      <c r="E59" s="22" t="s">
        <v>576</v>
      </c>
      <c r="F59" s="22" t="s">
        <v>563</v>
      </c>
      <c r="G59" s="22" t="s">
        <v>32</v>
      </c>
      <c r="H59" s="22" t="s">
        <v>172</v>
      </c>
      <c r="I59" s="22" t="s">
        <v>564</v>
      </c>
      <c r="J59" s="22" t="s">
        <v>568</v>
      </c>
    </row>
    <row r="60" ht="14.25" customHeight="1">
      <c r="A60" s="22" t="s">
        <v>629</v>
      </c>
      <c r="B60" s="22" t="s">
        <v>11</v>
      </c>
      <c r="C60" s="22" t="str">
        <f>+'2024_Transactions'!$D60&amp;'2024_Transactions'!$E60</f>
        <v>AidanO'Connell</v>
      </c>
      <c r="D60" s="23" t="s">
        <v>332</v>
      </c>
      <c r="E60" s="22" t="s">
        <v>635</v>
      </c>
      <c r="F60" s="22" t="s">
        <v>29</v>
      </c>
      <c r="G60" s="22" t="s">
        <v>32</v>
      </c>
      <c r="H60" s="22" t="s">
        <v>76</v>
      </c>
      <c r="I60" s="22" t="s">
        <v>564</v>
      </c>
      <c r="J60" s="22" t="s">
        <v>568</v>
      </c>
    </row>
    <row r="61" ht="14.25" customHeight="1">
      <c r="A61" s="22" t="s">
        <v>629</v>
      </c>
      <c r="B61" s="22" t="s">
        <v>6</v>
      </c>
      <c r="C61" s="22" t="str">
        <f>+'2024_Transactions'!$D61&amp;'2024_Transactions'!$E61</f>
        <v>NikBonitto</v>
      </c>
      <c r="D61" s="22" t="s">
        <v>540</v>
      </c>
      <c r="E61" s="22" t="s">
        <v>541</v>
      </c>
      <c r="F61" s="22" t="s">
        <v>563</v>
      </c>
      <c r="G61" s="22" t="s">
        <v>32</v>
      </c>
      <c r="H61" s="22" t="s">
        <v>103</v>
      </c>
      <c r="I61" s="22" t="s">
        <v>564</v>
      </c>
      <c r="J61" s="22" t="s">
        <v>568</v>
      </c>
    </row>
    <row r="62" ht="14.25" customHeight="1">
      <c r="A62" s="22" t="s">
        <v>629</v>
      </c>
      <c r="B62" s="22" t="s">
        <v>10</v>
      </c>
      <c r="C62" s="22" t="str">
        <f>+'2024_Transactions'!$D62&amp;'2024_Transactions'!$E62</f>
        <v>AkeemDavis-Gaither</v>
      </c>
      <c r="D62" s="23" t="s">
        <v>482</v>
      </c>
      <c r="E62" s="22" t="s">
        <v>483</v>
      </c>
      <c r="F62" s="22" t="s">
        <v>563</v>
      </c>
      <c r="G62" s="22" t="s">
        <v>32</v>
      </c>
      <c r="H62" s="22" t="s">
        <v>119</v>
      </c>
      <c r="I62" s="22" t="s">
        <v>564</v>
      </c>
      <c r="J62" s="22" t="s">
        <v>568</v>
      </c>
    </row>
    <row r="63" ht="14.25" customHeight="1">
      <c r="A63" s="22" t="s">
        <v>629</v>
      </c>
      <c r="B63" s="22" t="s">
        <v>10</v>
      </c>
      <c r="C63" s="22" t="str">
        <f>+'2024_Transactions'!$D63&amp;'2024_Transactions'!$E63</f>
        <v>CooperRush</v>
      </c>
      <c r="D63" s="22" t="s">
        <v>92</v>
      </c>
      <c r="E63" s="22" t="s">
        <v>636</v>
      </c>
      <c r="F63" s="22" t="s">
        <v>29</v>
      </c>
      <c r="G63" s="22" t="s">
        <v>32</v>
      </c>
      <c r="H63" s="22" t="s">
        <v>87</v>
      </c>
      <c r="I63" s="22" t="s">
        <v>564</v>
      </c>
      <c r="J63" s="22" t="s">
        <v>568</v>
      </c>
    </row>
    <row r="64" ht="14.25" customHeight="1">
      <c r="A64" s="22" t="s">
        <v>629</v>
      </c>
      <c r="B64" s="22" t="s">
        <v>9</v>
      </c>
      <c r="C64" s="22" t="str">
        <f>+'2024_Transactions'!$D64&amp;'2024_Transactions'!$E64</f>
        <v>KeenanAllen</v>
      </c>
      <c r="D64" s="22" t="s">
        <v>445</v>
      </c>
      <c r="E64" s="22" t="s">
        <v>94</v>
      </c>
      <c r="F64" s="22" t="s">
        <v>567</v>
      </c>
      <c r="G64" s="22" t="s">
        <v>32</v>
      </c>
      <c r="H64" s="22" t="s">
        <v>66</v>
      </c>
      <c r="I64" s="22" t="s">
        <v>564</v>
      </c>
      <c r="J64" s="22" t="s">
        <v>568</v>
      </c>
    </row>
    <row r="65" ht="14.25" customHeight="1">
      <c r="A65" s="22" t="s">
        <v>629</v>
      </c>
      <c r="B65" s="22" t="s">
        <v>13</v>
      </c>
      <c r="C65" s="22" t="str">
        <f>+'2024_Transactions'!$D65&amp;'2024_Transactions'!$E65</f>
        <v>C.J.Mosley</v>
      </c>
      <c r="D65" s="23" t="s">
        <v>469</v>
      </c>
      <c r="E65" s="22" t="s">
        <v>637</v>
      </c>
      <c r="F65" s="22" t="s">
        <v>563</v>
      </c>
      <c r="G65" s="22" t="s">
        <v>32</v>
      </c>
      <c r="H65" s="22" t="s">
        <v>49</v>
      </c>
      <c r="I65" s="22" t="s">
        <v>564</v>
      </c>
      <c r="J65" s="22" t="s">
        <v>568</v>
      </c>
    </row>
    <row r="66" ht="14.25" customHeight="1">
      <c r="A66" s="22" t="s">
        <v>629</v>
      </c>
      <c r="B66" s="22" t="s">
        <v>13</v>
      </c>
      <c r="C66" s="22" t="str">
        <f>+'2024_Transactions'!$D66&amp;'2024_Transactions'!$E66</f>
        <v>JerryJeudy</v>
      </c>
      <c r="D66" s="22" t="s">
        <v>358</v>
      </c>
      <c r="E66" s="22" t="s">
        <v>359</v>
      </c>
      <c r="F66" s="22" t="s">
        <v>567</v>
      </c>
      <c r="G66" s="22" t="s">
        <v>32</v>
      </c>
      <c r="H66" s="22" t="s">
        <v>42</v>
      </c>
      <c r="I66" s="22" t="s">
        <v>564</v>
      </c>
      <c r="J66" s="22" t="s">
        <v>568</v>
      </c>
    </row>
    <row r="67" ht="14.25" customHeight="1">
      <c r="A67" s="22" t="s">
        <v>629</v>
      </c>
      <c r="B67" s="22" t="s">
        <v>8</v>
      </c>
      <c r="C67" s="22" t="str">
        <f>+'2024_Transactions'!$D67&amp;'2024_Transactions'!$E67</f>
        <v>IsaacGuerendo</v>
      </c>
      <c r="D67" s="22" t="s">
        <v>154</v>
      </c>
      <c r="E67" s="22" t="s">
        <v>155</v>
      </c>
      <c r="F67" s="22" t="s">
        <v>39</v>
      </c>
      <c r="G67" s="22" t="s">
        <v>32</v>
      </c>
      <c r="H67" s="22" t="s">
        <v>37</v>
      </c>
      <c r="I67" s="22" t="s">
        <v>564</v>
      </c>
      <c r="J67" s="22" t="s">
        <v>568</v>
      </c>
    </row>
    <row r="68" ht="14.25" customHeight="1">
      <c r="A68" s="22" t="s">
        <v>638</v>
      </c>
      <c r="B68" s="22" t="s">
        <v>8</v>
      </c>
      <c r="C68" s="22" t="str">
        <f>+'2024_Transactions'!$D68&amp;'2024_Transactions'!$E68</f>
        <v>JeremyMcNichols</v>
      </c>
      <c r="D68" s="22" t="s">
        <v>588</v>
      </c>
      <c r="E68" s="22" t="s">
        <v>639</v>
      </c>
      <c r="F68" s="22" t="s">
        <v>39</v>
      </c>
      <c r="G68" s="22" t="s">
        <v>32</v>
      </c>
      <c r="H68" s="22" t="s">
        <v>98</v>
      </c>
      <c r="I68" s="22" t="s">
        <v>564</v>
      </c>
      <c r="J68" s="22" t="s">
        <v>565</v>
      </c>
    </row>
    <row r="69" ht="14.25" customHeight="1">
      <c r="A69" s="22" t="s">
        <v>640</v>
      </c>
      <c r="B69" s="22" t="s">
        <v>10</v>
      </c>
      <c r="C69" s="22" t="str">
        <f>+'2024_Transactions'!$D69&amp;'2024_Transactions'!$E69</f>
        <v>MalcolmRodriguez</v>
      </c>
      <c r="D69" s="22" t="s">
        <v>641</v>
      </c>
      <c r="E69" s="22" t="s">
        <v>642</v>
      </c>
      <c r="F69" s="22" t="s">
        <v>563</v>
      </c>
      <c r="G69" s="22" t="s">
        <v>32</v>
      </c>
      <c r="H69" s="22" t="s">
        <v>141</v>
      </c>
      <c r="I69" s="22" t="s">
        <v>564</v>
      </c>
      <c r="J69" s="22" t="s">
        <v>565</v>
      </c>
    </row>
    <row r="70" ht="14.25" customHeight="1">
      <c r="A70" s="22" t="s">
        <v>643</v>
      </c>
      <c r="B70" s="22" t="s">
        <v>6</v>
      </c>
      <c r="C70" s="22" t="str">
        <f>+'2024_Transactions'!$D70&amp;'2024_Transactions'!$E70</f>
        <v>TankBigsby</v>
      </c>
      <c r="D70" s="22" t="s">
        <v>446</v>
      </c>
      <c r="E70" s="22" t="s">
        <v>537</v>
      </c>
      <c r="F70" s="22" t="s">
        <v>39</v>
      </c>
      <c r="G70" s="22" t="s">
        <v>32</v>
      </c>
      <c r="H70" s="22" t="s">
        <v>148</v>
      </c>
      <c r="I70" s="22" t="s">
        <v>564</v>
      </c>
      <c r="J70" s="22" t="s">
        <v>568</v>
      </c>
    </row>
    <row r="71" ht="14.25" customHeight="1">
      <c r="A71" s="22" t="s">
        <v>644</v>
      </c>
      <c r="B71" s="22" t="s">
        <v>13</v>
      </c>
      <c r="C71" s="22" t="str">
        <f>+'2024_Transactions'!$D71&amp;'2024_Transactions'!$E71</f>
        <v>JordanAddison</v>
      </c>
      <c r="D71" s="22" t="s">
        <v>334</v>
      </c>
      <c r="E71" s="22" t="s">
        <v>337</v>
      </c>
      <c r="F71" s="22" t="s">
        <v>567</v>
      </c>
      <c r="G71" s="22" t="s">
        <v>32</v>
      </c>
      <c r="H71" s="22" t="s">
        <v>79</v>
      </c>
      <c r="I71" s="22" t="s">
        <v>564</v>
      </c>
      <c r="J71" s="22" t="s">
        <v>568</v>
      </c>
    </row>
    <row r="72" ht="14.25" customHeight="1">
      <c r="A72" s="22" t="s">
        <v>645</v>
      </c>
      <c r="B72" s="22" t="s">
        <v>12</v>
      </c>
      <c r="C72" s="22" t="str">
        <f>+'2024_Transactions'!$D72&amp;'2024_Transactions'!$E72</f>
        <v>TaysomHill</v>
      </c>
      <c r="D72" s="23" t="s">
        <v>646</v>
      </c>
      <c r="E72" s="22" t="s">
        <v>118</v>
      </c>
      <c r="F72" s="22" t="s">
        <v>29</v>
      </c>
      <c r="G72" s="22" t="s">
        <v>32</v>
      </c>
      <c r="H72" s="22" t="s">
        <v>33</v>
      </c>
      <c r="I72" s="22" t="s">
        <v>564</v>
      </c>
      <c r="J72" s="22" t="s">
        <v>568</v>
      </c>
    </row>
    <row r="73" ht="14.25" customHeight="1">
      <c r="A73" s="22" t="s">
        <v>647</v>
      </c>
      <c r="B73" s="22" t="s">
        <v>10</v>
      </c>
      <c r="C73" s="22" t="str">
        <f>+'2024_Transactions'!$D73&amp;'2024_Transactions'!$E73</f>
        <v>CadeOtton</v>
      </c>
      <c r="D73" s="22" t="s">
        <v>648</v>
      </c>
      <c r="E73" s="22" t="s">
        <v>649</v>
      </c>
      <c r="F73" s="22" t="s">
        <v>650</v>
      </c>
      <c r="G73" s="22" t="s">
        <v>32</v>
      </c>
      <c r="H73" s="22" t="s">
        <v>238</v>
      </c>
      <c r="I73" s="22" t="s">
        <v>564</v>
      </c>
      <c r="J73" s="22" t="s">
        <v>565</v>
      </c>
    </row>
    <row r="74" ht="14.25" customHeight="1">
      <c r="A74" s="22" t="s">
        <v>651</v>
      </c>
      <c r="B74" s="22" t="s">
        <v>8</v>
      </c>
      <c r="C74" s="22" t="str">
        <f>+'2024_Transactions'!$D74&amp;'2024_Transactions'!$E74</f>
        <v>JeremyMcNichols</v>
      </c>
      <c r="D74" s="22" t="s">
        <v>588</v>
      </c>
      <c r="E74" s="22" t="s">
        <v>639</v>
      </c>
      <c r="F74" s="22" t="s">
        <v>39</v>
      </c>
      <c r="G74" s="22" t="s">
        <v>32</v>
      </c>
      <c r="H74" s="22" t="s">
        <v>98</v>
      </c>
      <c r="I74" s="22" t="s">
        <v>564</v>
      </c>
      <c r="J74" s="22" t="s">
        <v>568</v>
      </c>
    </row>
    <row r="75" ht="14.25" customHeight="1">
      <c r="A75" s="22" t="s">
        <v>652</v>
      </c>
      <c r="B75" s="22" t="s">
        <v>8</v>
      </c>
      <c r="C75" s="22" t="str">
        <f>+'2024_Transactions'!$D75&amp;'2024_Transactions'!$E75</f>
        <v>JalenPitre</v>
      </c>
      <c r="D75" s="22" t="s">
        <v>122</v>
      </c>
      <c r="E75" s="22" t="s">
        <v>653</v>
      </c>
      <c r="F75" s="22" t="s">
        <v>573</v>
      </c>
      <c r="G75" s="22" t="s">
        <v>32</v>
      </c>
      <c r="H75" s="22" t="s">
        <v>172</v>
      </c>
      <c r="I75" s="22" t="s">
        <v>564</v>
      </c>
      <c r="J75" s="22" t="s">
        <v>565</v>
      </c>
    </row>
    <row r="76" ht="14.25" customHeight="1">
      <c r="A76" s="22" t="s">
        <v>654</v>
      </c>
      <c r="B76" s="22" t="s">
        <v>8</v>
      </c>
      <c r="C76" s="22" t="str">
        <f>+'2024_Transactions'!$D76&amp;'2024_Transactions'!$E76</f>
        <v>JasonMyers</v>
      </c>
      <c r="D76" s="22" t="s">
        <v>56</v>
      </c>
      <c r="E76" s="22" t="s">
        <v>412</v>
      </c>
      <c r="F76" s="22" t="s">
        <v>55</v>
      </c>
      <c r="G76" s="22" t="s">
        <v>32</v>
      </c>
      <c r="H76" s="22" t="s">
        <v>110</v>
      </c>
      <c r="I76" s="22" t="s">
        <v>564</v>
      </c>
      <c r="J76" s="22" t="s">
        <v>565</v>
      </c>
    </row>
    <row r="77" ht="14.25" customHeight="1">
      <c r="A77" s="22" t="s">
        <v>655</v>
      </c>
      <c r="B77" s="22" t="s">
        <v>11</v>
      </c>
      <c r="C77" s="22" t="str">
        <f>+'2024_Transactions'!$D77&amp;'2024_Transactions'!$E77</f>
        <v>JeremyMcNichols</v>
      </c>
      <c r="D77" s="22" t="s">
        <v>588</v>
      </c>
      <c r="E77" s="22" t="s">
        <v>639</v>
      </c>
      <c r="F77" s="22" t="s">
        <v>39</v>
      </c>
      <c r="G77" s="22" t="s">
        <v>32</v>
      </c>
      <c r="H77" s="22" t="s">
        <v>98</v>
      </c>
      <c r="I77" s="22" t="s">
        <v>564</v>
      </c>
      <c r="J77" s="22" t="s">
        <v>565</v>
      </c>
    </row>
    <row r="78" ht="14.25" customHeight="1">
      <c r="A78" s="22" t="s">
        <v>655</v>
      </c>
      <c r="B78" s="22" t="s">
        <v>11</v>
      </c>
      <c r="C78" s="22" t="str">
        <f>+'2024_Transactions'!$D78&amp;'2024_Transactions'!$E78</f>
        <v>JakeMoody</v>
      </c>
      <c r="D78" s="22" t="s">
        <v>258</v>
      </c>
      <c r="E78" s="22" t="s">
        <v>656</v>
      </c>
      <c r="F78" s="22" t="s">
        <v>55</v>
      </c>
      <c r="G78" s="22" t="s">
        <v>32</v>
      </c>
      <c r="H78" s="22" t="s">
        <v>37</v>
      </c>
      <c r="I78" s="22" t="s">
        <v>564</v>
      </c>
      <c r="J78" s="22" t="s">
        <v>565</v>
      </c>
    </row>
    <row r="79" ht="14.25" customHeight="1">
      <c r="A79" s="22" t="s">
        <v>657</v>
      </c>
      <c r="B79" s="22" t="s">
        <v>11</v>
      </c>
      <c r="C79" s="22" t="str">
        <f>+'2024_Transactions'!$D79&amp;'2024_Transactions'!$E79</f>
        <v>ChaseMcLaughlin</v>
      </c>
      <c r="D79" s="22" t="s">
        <v>193</v>
      </c>
      <c r="E79" s="22" t="s">
        <v>388</v>
      </c>
      <c r="F79" s="22" t="s">
        <v>55</v>
      </c>
      <c r="G79" s="22" t="s">
        <v>32</v>
      </c>
      <c r="H79" s="22" t="s">
        <v>238</v>
      </c>
      <c r="I79" s="22" t="s">
        <v>564</v>
      </c>
      <c r="J79" s="22" t="s">
        <v>568</v>
      </c>
    </row>
    <row r="80" ht="14.25" customHeight="1">
      <c r="A80" s="22" t="s">
        <v>657</v>
      </c>
      <c r="B80" s="22" t="s">
        <v>11</v>
      </c>
      <c r="C80" s="22" t="str">
        <f>+'2024_Transactions'!$D80&amp;'2024_Transactions'!$E80</f>
        <v>JeremyMcNichols</v>
      </c>
      <c r="D80" s="22" t="s">
        <v>588</v>
      </c>
      <c r="E80" s="22" t="s">
        <v>639</v>
      </c>
      <c r="F80" s="22" t="s">
        <v>39</v>
      </c>
      <c r="G80" s="22" t="s">
        <v>32</v>
      </c>
      <c r="H80" s="22" t="s">
        <v>98</v>
      </c>
      <c r="I80" s="22" t="s">
        <v>564</v>
      </c>
      <c r="J80" s="22" t="s">
        <v>568</v>
      </c>
    </row>
    <row r="81" ht="14.25" customHeight="1">
      <c r="A81" s="22" t="s">
        <v>657</v>
      </c>
      <c r="B81" s="22" t="s">
        <v>10</v>
      </c>
      <c r="C81" s="22" t="str">
        <f>+'2024_Transactions'!$D81&amp;'2024_Transactions'!$E81</f>
        <v>MattMilano</v>
      </c>
      <c r="D81" s="22" t="s">
        <v>457</v>
      </c>
      <c r="E81" s="22" t="s">
        <v>508</v>
      </c>
      <c r="F81" s="22" t="s">
        <v>563</v>
      </c>
      <c r="G81" s="22" t="s">
        <v>32</v>
      </c>
      <c r="H81" s="22" t="s">
        <v>93</v>
      </c>
      <c r="I81" s="22" t="s">
        <v>564</v>
      </c>
      <c r="J81" s="22" t="s">
        <v>568</v>
      </c>
    </row>
    <row r="82" ht="14.25" customHeight="1">
      <c r="A82" s="22" t="s">
        <v>657</v>
      </c>
      <c r="B82" s="22" t="s">
        <v>10</v>
      </c>
      <c r="C82" s="22" t="str">
        <f>+'2024_Transactions'!$D82&amp;'2024_Transactions'!$E82</f>
        <v>MalcolmRodriguez</v>
      </c>
      <c r="D82" s="23" t="s">
        <v>641</v>
      </c>
      <c r="E82" s="22" t="s">
        <v>642</v>
      </c>
      <c r="F82" s="22" t="s">
        <v>563</v>
      </c>
      <c r="G82" s="22" t="s">
        <v>32</v>
      </c>
      <c r="H82" s="22" t="s">
        <v>141</v>
      </c>
      <c r="I82" s="22" t="s">
        <v>564</v>
      </c>
      <c r="J82" s="22" t="s">
        <v>568</v>
      </c>
    </row>
    <row r="83" ht="14.25" customHeight="1">
      <c r="A83" s="22" t="s">
        <v>657</v>
      </c>
      <c r="B83" s="22" t="s">
        <v>8</v>
      </c>
      <c r="C83" s="22" t="str">
        <f>+'2024_Transactions'!$D83&amp;'2024_Transactions'!$E83</f>
        <v>MalikHarrison</v>
      </c>
      <c r="D83" s="22" t="s">
        <v>340</v>
      </c>
      <c r="E83" s="22" t="s">
        <v>253</v>
      </c>
      <c r="F83" s="22" t="s">
        <v>563</v>
      </c>
      <c r="G83" s="22" t="s">
        <v>32</v>
      </c>
      <c r="H83" s="22" t="s">
        <v>179</v>
      </c>
      <c r="I83" s="22" t="s">
        <v>564</v>
      </c>
      <c r="J83" s="22" t="s">
        <v>568</v>
      </c>
    </row>
    <row r="84" ht="14.25" customHeight="1">
      <c r="A84" s="22" t="s">
        <v>658</v>
      </c>
      <c r="B84" s="22" t="s">
        <v>7</v>
      </c>
      <c r="C84" s="22" t="str">
        <f>+'2024_Transactions'!$D84&amp;'2024_Transactions'!$E84</f>
        <v>JoshMetellus</v>
      </c>
      <c r="D84" s="22" t="s">
        <v>43</v>
      </c>
      <c r="E84" s="22" t="s">
        <v>659</v>
      </c>
      <c r="F84" s="22" t="s">
        <v>573</v>
      </c>
      <c r="G84" s="22" t="s">
        <v>32</v>
      </c>
      <c r="H84" s="22" t="s">
        <v>79</v>
      </c>
      <c r="I84" s="22" t="s">
        <v>564</v>
      </c>
      <c r="J84" s="22" t="s">
        <v>565</v>
      </c>
    </row>
    <row r="85" ht="14.25" customHeight="1">
      <c r="A85" s="22" t="s">
        <v>658</v>
      </c>
      <c r="B85" s="22" t="s">
        <v>7</v>
      </c>
      <c r="C85" s="22" t="str">
        <f>+'2024_Transactions'!$D85&amp;'2024_Transactions'!$E85</f>
        <v>NickWestbrook-Ikhine</v>
      </c>
      <c r="D85" s="22" t="s">
        <v>40</v>
      </c>
      <c r="E85" s="22" t="s">
        <v>301</v>
      </c>
      <c r="F85" s="22" t="s">
        <v>567</v>
      </c>
      <c r="G85" s="22" t="s">
        <v>32</v>
      </c>
      <c r="H85" s="22" t="s">
        <v>71</v>
      </c>
      <c r="I85" s="22" t="s">
        <v>564</v>
      </c>
      <c r="J85" s="22" t="s">
        <v>568</v>
      </c>
    </row>
    <row r="86" ht="14.25" customHeight="1">
      <c r="A86" s="22" t="s">
        <v>660</v>
      </c>
      <c r="B86" s="22" t="s">
        <v>7</v>
      </c>
      <c r="C86" s="22" t="str">
        <f>+'2024_Transactions'!$D86&amp;'2024_Transactions'!$E86</f>
        <v>CooperRush</v>
      </c>
      <c r="D86" s="22" t="s">
        <v>92</v>
      </c>
      <c r="E86" s="22" t="s">
        <v>636</v>
      </c>
      <c r="F86" s="22" t="s">
        <v>29</v>
      </c>
      <c r="G86" s="22" t="s">
        <v>32</v>
      </c>
      <c r="H86" s="22" t="s">
        <v>87</v>
      </c>
      <c r="I86" s="22" t="s">
        <v>564</v>
      </c>
      <c r="J86" s="22" t="s">
        <v>565</v>
      </c>
    </row>
    <row r="87" ht="14.25" customHeight="1">
      <c r="A87" s="22" t="s">
        <v>661</v>
      </c>
      <c r="B87" s="22" t="s">
        <v>7</v>
      </c>
      <c r="C87" s="22" t="str">
        <f>+'2024_Transactions'!$D87&amp;'2024_Transactions'!$E87</f>
        <v>AndyDalton</v>
      </c>
      <c r="D87" s="22" t="s">
        <v>662</v>
      </c>
      <c r="E87" s="22" t="s">
        <v>162</v>
      </c>
      <c r="F87" s="22" t="s">
        <v>29</v>
      </c>
      <c r="G87" s="22" t="s">
        <v>32</v>
      </c>
      <c r="H87" s="22" t="s">
        <v>218</v>
      </c>
      <c r="I87" s="22" t="s">
        <v>564</v>
      </c>
      <c r="J87" s="22" t="s">
        <v>565</v>
      </c>
    </row>
    <row r="88" ht="14.25" customHeight="1">
      <c r="A88" s="22" t="s">
        <v>663</v>
      </c>
      <c r="B88" s="22" t="s">
        <v>7</v>
      </c>
      <c r="C88" s="22" t="str">
        <f>+'2024_Transactions'!$D88&amp;'2024_Transactions'!$E88</f>
        <v>BrandonAllen</v>
      </c>
      <c r="D88" s="22" t="s">
        <v>101</v>
      </c>
      <c r="E88" s="22" t="s">
        <v>94</v>
      </c>
      <c r="F88" s="22" t="s">
        <v>29</v>
      </c>
      <c r="G88" s="22" t="s">
        <v>32</v>
      </c>
      <c r="H88" s="22" t="s">
        <v>37</v>
      </c>
      <c r="I88" s="22" t="s">
        <v>564</v>
      </c>
      <c r="J88" s="22" t="s">
        <v>568</v>
      </c>
    </row>
    <row r="89" ht="14.25" customHeight="1">
      <c r="A89" s="22" t="s">
        <v>664</v>
      </c>
      <c r="B89" s="22" t="s">
        <v>5</v>
      </c>
      <c r="C89" s="22" t="str">
        <f>+'2024_Transactions'!$D89&amp;'2024_Transactions'!$E89</f>
        <v>QuentinJohnston</v>
      </c>
      <c r="D89" s="23" t="s">
        <v>52</v>
      </c>
      <c r="E89" s="22" t="s">
        <v>53</v>
      </c>
      <c r="F89" s="22" t="s">
        <v>567</v>
      </c>
      <c r="G89" s="22" t="s">
        <v>32</v>
      </c>
      <c r="H89" s="22" t="s">
        <v>54</v>
      </c>
      <c r="I89" s="22" t="s">
        <v>564</v>
      </c>
      <c r="J89" s="22" t="s">
        <v>568</v>
      </c>
    </row>
    <row r="90" ht="14.25" customHeight="1">
      <c r="A90" s="22" t="s">
        <v>665</v>
      </c>
      <c r="B90" s="22" t="s">
        <v>7</v>
      </c>
      <c r="C90" s="22" t="str">
        <f>+'2024_Transactions'!$D90&amp;'2024_Transactions'!$E90</f>
        <v>CooperRush</v>
      </c>
      <c r="D90" s="22" t="s">
        <v>92</v>
      </c>
      <c r="E90" s="22" t="s">
        <v>636</v>
      </c>
      <c r="F90" s="22" t="s">
        <v>29</v>
      </c>
      <c r="G90" s="22" t="s">
        <v>32</v>
      </c>
      <c r="H90" s="22" t="s">
        <v>87</v>
      </c>
      <c r="I90" s="22" t="s">
        <v>564</v>
      </c>
      <c r="J90" s="22" t="s">
        <v>568</v>
      </c>
    </row>
    <row r="91" ht="14.25" customHeight="1">
      <c r="A91" s="22" t="s">
        <v>665</v>
      </c>
      <c r="B91" s="22" t="s">
        <v>5</v>
      </c>
      <c r="C91" s="22" t="str">
        <f>+'2024_Transactions'!$D91&amp;'2024_Transactions'!$E91</f>
        <v>TommyDeVito</v>
      </c>
      <c r="D91" s="22" t="s">
        <v>80</v>
      </c>
      <c r="E91" s="22" t="s">
        <v>81</v>
      </c>
      <c r="F91" s="22" t="s">
        <v>29</v>
      </c>
      <c r="G91" s="22" t="s">
        <v>32</v>
      </c>
      <c r="H91" s="22" t="s">
        <v>82</v>
      </c>
      <c r="I91" s="22" t="s">
        <v>564</v>
      </c>
      <c r="J91" s="22" t="s">
        <v>568</v>
      </c>
    </row>
    <row r="92" ht="14.25" customHeight="1">
      <c r="A92" s="22" t="s">
        <v>666</v>
      </c>
      <c r="B92" s="22" t="s">
        <v>5</v>
      </c>
      <c r="C92" s="22" t="str">
        <f>+'2024_Transactions'!$D92&amp;'2024_Transactions'!$E92</f>
        <v>AustinSeibert</v>
      </c>
      <c r="D92" s="22" t="s">
        <v>460</v>
      </c>
      <c r="E92" s="22" t="s">
        <v>667</v>
      </c>
      <c r="F92" s="22" t="s">
        <v>55</v>
      </c>
      <c r="G92" s="22" t="s">
        <v>32</v>
      </c>
      <c r="H92" s="22" t="s">
        <v>98</v>
      </c>
      <c r="I92" s="22" t="s">
        <v>564</v>
      </c>
      <c r="J92" s="22" t="s">
        <v>565</v>
      </c>
    </row>
    <row r="93" ht="14.25" customHeight="1">
      <c r="A93" s="22" t="s">
        <v>668</v>
      </c>
      <c r="B93" s="22" t="s">
        <v>8</v>
      </c>
      <c r="C93" s="22" t="str">
        <f>+'2024_Transactions'!$D93&amp;'2024_Transactions'!$E93</f>
        <v>EvanEngram</v>
      </c>
      <c r="D93" s="22" t="s">
        <v>632</v>
      </c>
      <c r="E93" s="22" t="s">
        <v>669</v>
      </c>
      <c r="F93" s="22" t="s">
        <v>650</v>
      </c>
      <c r="G93" s="22" t="s">
        <v>32</v>
      </c>
      <c r="H93" s="22" t="s">
        <v>148</v>
      </c>
      <c r="I93" s="22" t="s">
        <v>564</v>
      </c>
      <c r="J93" s="22" t="s">
        <v>565</v>
      </c>
    </row>
    <row r="94" ht="14.25" customHeight="1">
      <c r="A94" s="22" t="s">
        <v>670</v>
      </c>
      <c r="B94" s="22" t="s">
        <v>11</v>
      </c>
      <c r="C94" s="22" t="str">
        <f>+'2024_Transactions'!$D94&amp;'2024_Transactions'!$E94</f>
        <v>AmeerAbdullah</v>
      </c>
      <c r="D94" s="23" t="s">
        <v>671</v>
      </c>
      <c r="E94" s="22" t="s">
        <v>672</v>
      </c>
      <c r="F94" s="22" t="s">
        <v>39</v>
      </c>
      <c r="G94" s="22" t="s">
        <v>32</v>
      </c>
      <c r="H94" s="22" t="s">
        <v>76</v>
      </c>
      <c r="I94" s="22" t="s">
        <v>564</v>
      </c>
      <c r="J94" s="22" t="s">
        <v>568</v>
      </c>
    </row>
    <row r="95" ht="14.25" customHeight="1">
      <c r="A95" s="22" t="s">
        <v>670</v>
      </c>
      <c r="B95" s="22" t="s">
        <v>11</v>
      </c>
      <c r="C95" s="22" t="str">
        <f>+'2024_Transactions'!$D95&amp;'2024_Transactions'!$E95</f>
        <v>BryceYoung</v>
      </c>
      <c r="D95" s="23" t="s">
        <v>377</v>
      </c>
      <c r="E95" s="22" t="s">
        <v>378</v>
      </c>
      <c r="F95" s="22" t="s">
        <v>29</v>
      </c>
      <c r="G95" s="22" t="s">
        <v>32</v>
      </c>
      <c r="H95" s="22" t="s">
        <v>218</v>
      </c>
      <c r="I95" s="22" t="s">
        <v>564</v>
      </c>
      <c r="J95" s="22" t="s">
        <v>568</v>
      </c>
    </row>
    <row r="96" ht="14.25" customHeight="1">
      <c r="A96" s="22" t="s">
        <v>670</v>
      </c>
      <c r="B96" s="22" t="s">
        <v>8</v>
      </c>
      <c r="C96" s="22" t="str">
        <f>+'2024_Transactions'!$D96&amp;'2024_Transactions'!$E96</f>
        <v>JasonMyers</v>
      </c>
      <c r="D96" s="22" t="s">
        <v>56</v>
      </c>
      <c r="E96" s="22" t="s">
        <v>412</v>
      </c>
      <c r="F96" s="22" t="s">
        <v>55</v>
      </c>
      <c r="G96" s="22" t="s">
        <v>32</v>
      </c>
      <c r="H96" s="22" t="s">
        <v>110</v>
      </c>
      <c r="I96" s="22" t="s">
        <v>564</v>
      </c>
      <c r="J96" s="22" t="s">
        <v>568</v>
      </c>
    </row>
    <row r="97" ht="14.25" customHeight="1">
      <c r="A97" s="22" t="s">
        <v>670</v>
      </c>
      <c r="B97" s="22" t="s">
        <v>13</v>
      </c>
      <c r="C97" s="22" t="str">
        <f>+'2024_Transactions'!$D97&amp;'2024_Transactions'!$E97</f>
        <v>CamAkers</v>
      </c>
      <c r="D97" s="22" t="s">
        <v>354</v>
      </c>
      <c r="E97" s="22" t="s">
        <v>355</v>
      </c>
      <c r="F97" s="22" t="s">
        <v>39</v>
      </c>
      <c r="G97" s="22" t="s">
        <v>32</v>
      </c>
      <c r="H97" s="22" t="s">
        <v>79</v>
      </c>
      <c r="I97" s="22" t="s">
        <v>564</v>
      </c>
      <c r="J97" s="22" t="s">
        <v>568</v>
      </c>
    </row>
    <row r="98" ht="14.25" customHeight="1">
      <c r="A98" s="22" t="s">
        <v>670</v>
      </c>
      <c r="B98" s="22" t="s">
        <v>10</v>
      </c>
      <c r="C98" s="22" t="str">
        <f>+'2024_Transactions'!$D98&amp;'2024_Transactions'!$E98</f>
        <v>JonathanGreenard</v>
      </c>
      <c r="D98" s="23" t="s">
        <v>142</v>
      </c>
      <c r="E98" s="22" t="s">
        <v>143</v>
      </c>
      <c r="F98" s="22" t="s">
        <v>604</v>
      </c>
      <c r="G98" s="22" t="s">
        <v>32</v>
      </c>
      <c r="H98" s="22" t="s">
        <v>79</v>
      </c>
      <c r="I98" s="22" t="s">
        <v>564</v>
      </c>
      <c r="J98" s="22" t="s">
        <v>568</v>
      </c>
    </row>
    <row r="99" ht="14.25" customHeight="1">
      <c r="A99" s="22" t="s">
        <v>673</v>
      </c>
      <c r="B99" s="22" t="s">
        <v>13</v>
      </c>
      <c r="C99" s="22" t="str">
        <f>+'2024_Transactions'!$D99&amp;'2024_Transactions'!$E99</f>
        <v>JackGibbens</v>
      </c>
      <c r="D99" s="22" t="s">
        <v>139</v>
      </c>
      <c r="E99" s="22" t="s">
        <v>674</v>
      </c>
      <c r="F99" s="22" t="s">
        <v>563</v>
      </c>
      <c r="G99" s="22" t="s">
        <v>32</v>
      </c>
      <c r="H99" s="22" t="s">
        <v>71</v>
      </c>
      <c r="I99" s="22" t="s">
        <v>564</v>
      </c>
      <c r="J99" s="22" t="s">
        <v>565</v>
      </c>
    </row>
    <row r="100" ht="14.25" customHeight="1">
      <c r="A100" s="22" t="s">
        <v>675</v>
      </c>
      <c r="B100" s="22" t="s">
        <v>5</v>
      </c>
      <c r="C100" s="22" t="str">
        <f>+'2024_Transactions'!$D100&amp;'2024_Transactions'!$E100</f>
        <v>JasonSanders</v>
      </c>
      <c r="D100" s="23" t="s">
        <v>56</v>
      </c>
      <c r="E100" s="22" t="s">
        <v>57</v>
      </c>
      <c r="F100" s="22" t="s">
        <v>55</v>
      </c>
      <c r="G100" s="22" t="s">
        <v>32</v>
      </c>
      <c r="H100" s="22" t="s">
        <v>58</v>
      </c>
      <c r="I100" s="22" t="s">
        <v>564</v>
      </c>
      <c r="J100" s="22" t="s">
        <v>568</v>
      </c>
    </row>
    <row r="101" ht="14.25" customHeight="1">
      <c r="A101" s="22" t="s">
        <v>676</v>
      </c>
      <c r="B101" s="22" t="s">
        <v>4</v>
      </c>
      <c r="C101" s="22" t="str">
        <f>+'2024_Transactions'!$D101&amp;'2024_Transactions'!$E101</f>
        <v>TaronJohnson</v>
      </c>
      <c r="D101" s="22" t="s">
        <v>265</v>
      </c>
      <c r="E101" s="22" t="s">
        <v>266</v>
      </c>
      <c r="F101" s="22" t="s">
        <v>573</v>
      </c>
      <c r="G101" s="22" t="s">
        <v>32</v>
      </c>
      <c r="H101" s="22" t="s">
        <v>93</v>
      </c>
      <c r="I101" s="22" t="s">
        <v>564</v>
      </c>
      <c r="J101" s="22" t="s">
        <v>568</v>
      </c>
    </row>
    <row r="102" ht="14.25" customHeight="1">
      <c r="A102" s="22" t="s">
        <v>676</v>
      </c>
      <c r="B102" s="22" t="s">
        <v>4</v>
      </c>
      <c r="C102" s="22" t="str">
        <f>+'2024_Transactions'!$D102&amp;'2024_Transactions'!$E102</f>
        <v>JamalAdams</v>
      </c>
      <c r="D102" s="22" t="s">
        <v>677</v>
      </c>
      <c r="E102" s="22" t="s">
        <v>48</v>
      </c>
      <c r="F102" s="22" t="s">
        <v>573</v>
      </c>
      <c r="G102" s="22" t="s">
        <v>32</v>
      </c>
      <c r="H102" s="22" t="s">
        <v>141</v>
      </c>
      <c r="I102" s="22" t="s">
        <v>564</v>
      </c>
      <c r="J102" s="22" t="s">
        <v>565</v>
      </c>
    </row>
    <row r="103" ht="14.25" customHeight="1">
      <c r="A103" s="22" t="s">
        <v>678</v>
      </c>
      <c r="B103" s="22" t="s">
        <v>4</v>
      </c>
      <c r="C103" s="22" t="str">
        <f>+'2024_Transactions'!$D103&amp;'2024_Transactions'!$E103</f>
        <v>JaredVerse</v>
      </c>
      <c r="D103" s="22" t="s">
        <v>245</v>
      </c>
      <c r="E103" s="22" t="s">
        <v>287</v>
      </c>
      <c r="F103" s="22" t="s">
        <v>604</v>
      </c>
      <c r="G103" s="22" t="s">
        <v>32</v>
      </c>
      <c r="H103" s="22" t="s">
        <v>136</v>
      </c>
      <c r="I103" s="22" t="s">
        <v>564</v>
      </c>
      <c r="J103" s="22" t="s">
        <v>568</v>
      </c>
    </row>
    <row r="104" ht="14.25" customHeight="1">
      <c r="A104" s="22" t="s">
        <v>679</v>
      </c>
      <c r="B104" s="22" t="s">
        <v>4</v>
      </c>
      <c r="C104" s="22" t="str">
        <f>+'2024_Transactions'!$D104&amp;'2024_Transactions'!$E104</f>
        <v>EddieJackson</v>
      </c>
      <c r="D104" s="22" t="s">
        <v>680</v>
      </c>
      <c r="E104" s="22" t="s">
        <v>376</v>
      </c>
      <c r="F104" s="22" t="s">
        <v>573</v>
      </c>
      <c r="G104" s="22" t="s">
        <v>32</v>
      </c>
      <c r="H104" s="22" t="s">
        <v>54</v>
      </c>
      <c r="I104" s="22" t="s">
        <v>564</v>
      </c>
      <c r="J104" s="22" t="s">
        <v>565</v>
      </c>
    </row>
    <row r="105" ht="14.25" customHeight="1">
      <c r="A105" s="22" t="s">
        <v>679</v>
      </c>
      <c r="B105" s="22" t="s">
        <v>4</v>
      </c>
      <c r="C105" s="22" t="str">
        <f>+'2024_Transactions'!$D105&amp;'2024_Transactions'!$E105</f>
        <v>JakeBates</v>
      </c>
      <c r="D105" s="22" t="s">
        <v>258</v>
      </c>
      <c r="E105" s="22" t="s">
        <v>61</v>
      </c>
      <c r="F105" s="22" t="s">
        <v>55</v>
      </c>
      <c r="G105" s="22" t="s">
        <v>32</v>
      </c>
      <c r="H105" s="22" t="s">
        <v>141</v>
      </c>
      <c r="I105" s="22" t="s">
        <v>564</v>
      </c>
      <c r="J105" s="22" t="s">
        <v>568</v>
      </c>
    </row>
    <row r="106" ht="14.25" customHeight="1">
      <c r="A106" s="22" t="s">
        <v>681</v>
      </c>
      <c r="B106" s="22" t="s">
        <v>13</v>
      </c>
      <c r="C106" s="22" t="str">
        <f>+'2024_Transactions'!$D106&amp;'2024_Transactions'!$E106</f>
        <v>RaheemMostert</v>
      </c>
      <c r="D106" s="23" t="s">
        <v>625</v>
      </c>
      <c r="E106" s="22" t="s">
        <v>626</v>
      </c>
      <c r="F106" s="22" t="s">
        <v>39</v>
      </c>
      <c r="G106" s="22" t="s">
        <v>32</v>
      </c>
      <c r="H106" s="22" t="s">
        <v>58</v>
      </c>
      <c r="I106" s="22" t="s">
        <v>564</v>
      </c>
      <c r="J106" s="22" t="s">
        <v>568</v>
      </c>
    </row>
    <row r="107" ht="14.25" customHeight="1">
      <c r="A107" s="22" t="s">
        <v>682</v>
      </c>
      <c r="B107" s="22" t="s">
        <v>11</v>
      </c>
      <c r="C107" s="22" t="str">
        <f>+'2024_Transactions'!$D107&amp;'2024_Transactions'!$E107</f>
        <v>ZachCharbonnet</v>
      </c>
      <c r="D107" s="23" t="s">
        <v>379</v>
      </c>
      <c r="E107" s="22" t="s">
        <v>380</v>
      </c>
      <c r="F107" s="22" t="s">
        <v>39</v>
      </c>
      <c r="G107" s="22" t="s">
        <v>32</v>
      </c>
      <c r="H107" s="22" t="s">
        <v>110</v>
      </c>
      <c r="I107" s="22" t="s">
        <v>564</v>
      </c>
      <c r="J107" s="22" t="s">
        <v>568</v>
      </c>
    </row>
    <row r="108" ht="14.25" customHeight="1">
      <c r="A108" s="22" t="s">
        <v>682</v>
      </c>
      <c r="B108" s="22" t="s">
        <v>6</v>
      </c>
      <c r="C108" s="22" t="str">
        <f>+'2024_Transactions'!$D108&amp;'2024_Transactions'!$E108</f>
        <v>TylerNubin</v>
      </c>
      <c r="D108" s="23" t="s">
        <v>280</v>
      </c>
      <c r="E108" s="22" t="s">
        <v>545</v>
      </c>
      <c r="F108" s="22" t="s">
        <v>573</v>
      </c>
      <c r="G108" s="22" t="s">
        <v>32</v>
      </c>
      <c r="H108" s="22" t="s">
        <v>82</v>
      </c>
      <c r="I108" s="22" t="s">
        <v>564</v>
      </c>
      <c r="J108" s="22" t="s">
        <v>568</v>
      </c>
    </row>
    <row r="109" ht="14.25" customHeight="1">
      <c r="A109" s="22" t="s">
        <v>683</v>
      </c>
      <c r="B109" s="22" t="s">
        <v>8</v>
      </c>
      <c r="C109" s="22" t="str">
        <f>+'2024_Transactions'!$D109&amp;'2024_Transactions'!$E109</f>
        <v>WillLevis</v>
      </c>
      <c r="D109" s="23" t="s">
        <v>430</v>
      </c>
      <c r="E109" s="22" t="s">
        <v>597</v>
      </c>
      <c r="F109" s="22" t="s">
        <v>29</v>
      </c>
      <c r="G109" s="22" t="s">
        <v>32</v>
      </c>
      <c r="H109" s="22" t="s">
        <v>71</v>
      </c>
      <c r="I109" s="22" t="s">
        <v>564</v>
      </c>
      <c r="J109" s="22" t="s">
        <v>568</v>
      </c>
    </row>
    <row r="110" ht="14.25" customHeight="1">
      <c r="A110" s="22" t="s">
        <v>683</v>
      </c>
      <c r="B110" s="22" t="s">
        <v>11</v>
      </c>
      <c r="C110" s="22" t="str">
        <f>+'2024_Transactions'!$D110&amp;'2024_Transactions'!$E110</f>
        <v>JakeMoody</v>
      </c>
      <c r="D110" s="23" t="s">
        <v>258</v>
      </c>
      <c r="E110" s="22" t="s">
        <v>656</v>
      </c>
      <c r="F110" s="22" t="s">
        <v>55</v>
      </c>
      <c r="G110" s="22" t="s">
        <v>32</v>
      </c>
      <c r="H110" s="22" t="s">
        <v>37</v>
      </c>
      <c r="I110" s="22" t="s">
        <v>564</v>
      </c>
      <c r="J110" s="22" t="s">
        <v>568</v>
      </c>
    </row>
    <row r="111" ht="14.25" customHeight="1">
      <c r="A111" s="22" t="s">
        <v>683</v>
      </c>
      <c r="B111" s="22" t="s">
        <v>12</v>
      </c>
      <c r="C111" s="22" t="str">
        <f>+'2024_Transactions'!$D111&amp;'2024_Transactions'!$E111</f>
        <v>TyriceKnight</v>
      </c>
      <c r="D111" s="23" t="s">
        <v>205</v>
      </c>
      <c r="E111" s="22" t="s">
        <v>206</v>
      </c>
      <c r="F111" s="22" t="s">
        <v>563</v>
      </c>
      <c r="G111" s="22" t="s">
        <v>32</v>
      </c>
      <c r="H111" s="22" t="s">
        <v>110</v>
      </c>
      <c r="I111" s="22" t="s">
        <v>564</v>
      </c>
      <c r="J111" s="22" t="s">
        <v>568</v>
      </c>
    </row>
    <row r="112" ht="14.25" customHeight="1">
      <c r="A112" s="22" t="s">
        <v>683</v>
      </c>
      <c r="B112" s="22" t="s">
        <v>10</v>
      </c>
      <c r="C112" s="22" t="str">
        <f>+'2024_Transactions'!$D112&amp;'2024_Transactions'!$E112</f>
        <v>OmarSpeights</v>
      </c>
      <c r="D112" s="23" t="s">
        <v>684</v>
      </c>
      <c r="E112" s="22" t="s">
        <v>685</v>
      </c>
      <c r="F112" s="22" t="s">
        <v>563</v>
      </c>
      <c r="G112" s="22" t="s">
        <v>32</v>
      </c>
      <c r="H112" s="22" t="s">
        <v>136</v>
      </c>
      <c r="I112" s="22" t="s">
        <v>564</v>
      </c>
      <c r="J112" s="22" t="s">
        <v>568</v>
      </c>
    </row>
    <row r="113" ht="14.25" customHeight="1">
      <c r="A113" s="22" t="s">
        <v>683</v>
      </c>
      <c r="B113" s="22" t="s">
        <v>13</v>
      </c>
      <c r="C113" s="22" t="str">
        <f>+'2024_Transactions'!$D113&amp;'2024_Transactions'!$E113</f>
        <v>TreyBenson</v>
      </c>
      <c r="D113" s="23" t="s">
        <v>225</v>
      </c>
      <c r="E113" s="22" t="s">
        <v>686</v>
      </c>
      <c r="F113" s="22" t="s">
        <v>39</v>
      </c>
      <c r="G113" s="22" t="s">
        <v>32</v>
      </c>
      <c r="H113" s="22" t="s">
        <v>213</v>
      </c>
      <c r="I113" s="22" t="s">
        <v>564</v>
      </c>
      <c r="J113" s="22" t="s">
        <v>568</v>
      </c>
    </row>
    <row r="114" ht="14.25" customHeight="1">
      <c r="A114" s="22" t="s">
        <v>683</v>
      </c>
      <c r="B114" s="22" t="s">
        <v>10</v>
      </c>
      <c r="C114" s="22" t="str">
        <f>+'2024_Transactions'!$D114&amp;'2024_Transactions'!$E114</f>
        <v>TyjaeSpears</v>
      </c>
      <c r="D114" s="23" t="s">
        <v>190</v>
      </c>
      <c r="E114" s="22" t="s">
        <v>191</v>
      </c>
      <c r="F114" s="22" t="s">
        <v>39</v>
      </c>
      <c r="G114" s="22" t="s">
        <v>32</v>
      </c>
      <c r="H114" s="22" t="s">
        <v>71</v>
      </c>
      <c r="I114" s="22" t="s">
        <v>564</v>
      </c>
      <c r="J114" s="22" t="s">
        <v>568</v>
      </c>
    </row>
    <row r="115" ht="14.25" customHeight="1">
      <c r="A115" s="22" t="s">
        <v>683</v>
      </c>
      <c r="B115" s="22" t="s">
        <v>8</v>
      </c>
      <c r="C115" s="22" t="str">
        <f>+'2024_Transactions'!$D115&amp;'2024_Transactions'!$E115</f>
        <v>JeremyChinn</v>
      </c>
      <c r="D115" s="22" t="s">
        <v>588</v>
      </c>
      <c r="E115" s="22" t="s">
        <v>589</v>
      </c>
      <c r="F115" s="22" t="s">
        <v>573</v>
      </c>
      <c r="G115" s="22" t="s">
        <v>32</v>
      </c>
      <c r="H115" s="22" t="s">
        <v>98</v>
      </c>
      <c r="I115" s="22" t="s">
        <v>564</v>
      </c>
      <c r="J115" s="22" t="s">
        <v>568</v>
      </c>
    </row>
    <row r="116" ht="14.25" customHeight="1">
      <c r="A116" s="22" t="s">
        <v>683</v>
      </c>
      <c r="B116" s="22" t="s">
        <v>13</v>
      </c>
      <c r="C116" s="22" t="str">
        <f>+'2024_Transactions'!$D116&amp;'2024_Transactions'!$E116</f>
        <v>JahlaniTavai</v>
      </c>
      <c r="D116" s="23" t="s">
        <v>687</v>
      </c>
      <c r="E116" s="22" t="s">
        <v>688</v>
      </c>
      <c r="F116" s="22" t="s">
        <v>563</v>
      </c>
      <c r="G116" s="22" t="s">
        <v>32</v>
      </c>
      <c r="H116" s="22" t="s">
        <v>444</v>
      </c>
      <c r="I116" s="22" t="s">
        <v>564</v>
      </c>
      <c r="J116" s="22" t="s">
        <v>568</v>
      </c>
    </row>
    <row r="117" ht="14.25" customHeight="1">
      <c r="A117" s="22" t="s">
        <v>683</v>
      </c>
      <c r="B117" s="22" t="s">
        <v>10</v>
      </c>
      <c r="C117" s="22" t="str">
        <f>+'2024_Transactions'!$D117&amp;'2024_Transactions'!$E117</f>
        <v>AudricEstime</v>
      </c>
      <c r="D117" s="23" t="s">
        <v>689</v>
      </c>
      <c r="E117" s="22" t="s">
        <v>690</v>
      </c>
      <c r="F117" s="22" t="s">
        <v>39</v>
      </c>
      <c r="G117" s="22" t="s">
        <v>32</v>
      </c>
      <c r="H117" s="22" t="s">
        <v>103</v>
      </c>
      <c r="I117" s="22" t="s">
        <v>564</v>
      </c>
      <c r="J117" s="22" t="s">
        <v>568</v>
      </c>
    </row>
    <row r="118" ht="14.25" customHeight="1">
      <c r="A118" s="22" t="s">
        <v>691</v>
      </c>
      <c r="B118" s="22" t="s">
        <v>10</v>
      </c>
      <c r="C118" s="22" t="str">
        <f>+'2024_Transactions'!$D118&amp;'2024_Transactions'!$E118</f>
        <v>JustinStrnad</v>
      </c>
      <c r="D118" s="22" t="s">
        <v>194</v>
      </c>
      <c r="E118" s="22" t="s">
        <v>692</v>
      </c>
      <c r="F118" s="22" t="s">
        <v>563</v>
      </c>
      <c r="G118" s="22" t="s">
        <v>32</v>
      </c>
      <c r="H118" s="22" t="s">
        <v>103</v>
      </c>
      <c r="I118" s="22" t="s">
        <v>564</v>
      </c>
      <c r="J118" s="22" t="s">
        <v>565</v>
      </c>
    </row>
    <row r="119" ht="14.25" customHeight="1">
      <c r="A119" s="22" t="s">
        <v>693</v>
      </c>
      <c r="B119" s="22" t="s">
        <v>11</v>
      </c>
      <c r="C119" s="22" t="str">
        <f>+'2024_Transactions'!$D119&amp;'2024_Transactions'!$E119</f>
        <v>DemarcusRobinson</v>
      </c>
      <c r="D119" s="23" t="s">
        <v>694</v>
      </c>
      <c r="E119" s="22" t="s">
        <v>159</v>
      </c>
      <c r="F119" s="22" t="s">
        <v>567</v>
      </c>
      <c r="G119" s="22" t="s">
        <v>32</v>
      </c>
      <c r="H119" s="22" t="s">
        <v>136</v>
      </c>
      <c r="I119" s="22" t="s">
        <v>564</v>
      </c>
      <c r="J119" s="22" t="s">
        <v>568</v>
      </c>
    </row>
    <row r="120" ht="14.25" customHeight="1">
      <c r="A120" s="22" t="s">
        <v>693</v>
      </c>
      <c r="B120" s="22" t="s">
        <v>5</v>
      </c>
      <c r="C120" s="22" t="str">
        <f>+'2024_Transactions'!$D120&amp;'2024_Transactions'!$E120</f>
        <v>ByronMurphy</v>
      </c>
      <c r="D120" s="23" t="s">
        <v>77</v>
      </c>
      <c r="E120" s="22" t="s">
        <v>78</v>
      </c>
      <c r="F120" s="22" t="s">
        <v>573</v>
      </c>
      <c r="G120" s="22" t="s">
        <v>32</v>
      </c>
      <c r="H120" s="22" t="s">
        <v>79</v>
      </c>
      <c r="I120" s="22" t="s">
        <v>564</v>
      </c>
      <c r="J120" s="22" t="s">
        <v>568</v>
      </c>
    </row>
    <row r="121" ht="14.25" customHeight="1">
      <c r="A121" s="22" t="s">
        <v>693</v>
      </c>
      <c r="B121" s="22" t="s">
        <v>5</v>
      </c>
      <c r="C121" s="22" t="str">
        <f>+'2024_Transactions'!$D121&amp;'2024_Transactions'!$E121</f>
        <v>BrandonJones</v>
      </c>
      <c r="D121" s="23" t="s">
        <v>101</v>
      </c>
      <c r="E121" s="22" t="s">
        <v>102</v>
      </c>
      <c r="F121" s="22" t="s">
        <v>573</v>
      </c>
      <c r="G121" s="22" t="s">
        <v>32</v>
      </c>
      <c r="H121" s="22" t="s">
        <v>103</v>
      </c>
      <c r="I121" s="22" t="s">
        <v>564</v>
      </c>
      <c r="J121" s="22" t="s">
        <v>568</v>
      </c>
    </row>
    <row r="122" ht="14.25" customHeight="1">
      <c r="A122" s="22" t="s">
        <v>695</v>
      </c>
      <c r="B122" s="22" t="s">
        <v>11</v>
      </c>
      <c r="C122" s="22" t="str">
        <f>+'2024_Transactions'!$D122&amp;'2024_Transactions'!$E122</f>
        <v>KeatonMitchell</v>
      </c>
      <c r="D122" s="22" t="s">
        <v>696</v>
      </c>
      <c r="E122" s="22" t="s">
        <v>697</v>
      </c>
      <c r="F122" s="22" t="s">
        <v>39</v>
      </c>
      <c r="G122" s="22" t="s">
        <v>32</v>
      </c>
      <c r="H122" s="22" t="s">
        <v>179</v>
      </c>
      <c r="I122" s="22" t="s">
        <v>564</v>
      </c>
      <c r="J122" s="22" t="s">
        <v>565</v>
      </c>
    </row>
    <row r="123" ht="14.25" customHeight="1">
      <c r="A123" s="22" t="s">
        <v>698</v>
      </c>
      <c r="B123" s="22" t="s">
        <v>13</v>
      </c>
      <c r="C123" s="22" t="str">
        <f>+'2024_Transactions'!$D123&amp;'2024_Transactions'!$E123</f>
        <v>PaytonWilson</v>
      </c>
      <c r="D123" s="22" t="s">
        <v>699</v>
      </c>
      <c r="E123" s="22" t="s">
        <v>215</v>
      </c>
      <c r="F123" s="22" t="s">
        <v>563</v>
      </c>
      <c r="G123" s="22" t="s">
        <v>32</v>
      </c>
      <c r="H123" s="22" t="s">
        <v>170</v>
      </c>
      <c r="I123" s="22" t="s">
        <v>564</v>
      </c>
      <c r="J123" s="22" t="s">
        <v>565</v>
      </c>
    </row>
    <row r="124" ht="14.25" customHeight="1">
      <c r="A124" s="22" t="s">
        <v>700</v>
      </c>
      <c r="B124" s="22" t="s">
        <v>11</v>
      </c>
      <c r="C124" s="22" t="str">
        <f>+'2024_Transactions'!$D124&amp;'2024_Transactions'!$E124</f>
        <v>MohamoudDiabate</v>
      </c>
      <c r="D124" s="22" t="s">
        <v>701</v>
      </c>
      <c r="E124" s="22" t="s">
        <v>702</v>
      </c>
      <c r="F124" s="22" t="s">
        <v>604</v>
      </c>
      <c r="G124" s="22" t="s">
        <v>32</v>
      </c>
      <c r="H124" s="22" t="s">
        <v>42</v>
      </c>
      <c r="I124" s="22" t="s">
        <v>564</v>
      </c>
      <c r="J124" s="22" t="s">
        <v>565</v>
      </c>
    </row>
    <row r="125" ht="14.25" customHeight="1">
      <c r="A125" s="22" t="s">
        <v>703</v>
      </c>
      <c r="B125" s="22" t="s">
        <v>8</v>
      </c>
      <c r="C125" s="22" t="str">
        <f>+'2024_Transactions'!$D125&amp;'2024_Transactions'!$E125</f>
        <v>EricWilson</v>
      </c>
      <c r="D125" s="22" t="s">
        <v>484</v>
      </c>
      <c r="E125" s="22" t="s">
        <v>215</v>
      </c>
      <c r="F125" s="22" t="s">
        <v>563</v>
      </c>
      <c r="G125" s="22" t="s">
        <v>32</v>
      </c>
      <c r="H125" s="22" t="s">
        <v>45</v>
      </c>
      <c r="I125" s="22" t="s">
        <v>564</v>
      </c>
      <c r="J125" s="22" t="s">
        <v>565</v>
      </c>
    </row>
    <row r="126" ht="14.25" customHeight="1">
      <c r="A126" s="22" t="s">
        <v>703</v>
      </c>
      <c r="B126" s="22" t="s">
        <v>8</v>
      </c>
      <c r="C126" s="22" t="str">
        <f>+'2024_Transactions'!$D126&amp;'2024_Transactions'!$E126</f>
        <v>BrandonJones</v>
      </c>
      <c r="D126" s="22" t="s">
        <v>101</v>
      </c>
      <c r="E126" s="22" t="s">
        <v>102</v>
      </c>
      <c r="F126" s="22" t="s">
        <v>573</v>
      </c>
      <c r="G126" s="22" t="s">
        <v>32</v>
      </c>
      <c r="H126" s="22" t="s">
        <v>103</v>
      </c>
      <c r="I126" s="22" t="s">
        <v>564</v>
      </c>
      <c r="J126" s="22" t="s">
        <v>565</v>
      </c>
    </row>
    <row r="127" ht="14.25" customHeight="1">
      <c r="A127" s="22" t="s">
        <v>703</v>
      </c>
      <c r="B127" s="22" t="s">
        <v>7</v>
      </c>
      <c r="C127" s="22" t="str">
        <f>+'2024_Transactions'!$D127&amp;'2024_Transactions'!$E127</f>
        <v>BlakeGrupe</v>
      </c>
      <c r="D127" s="22" t="s">
        <v>303</v>
      </c>
      <c r="E127" s="22" t="s">
        <v>704</v>
      </c>
      <c r="F127" s="22" t="s">
        <v>55</v>
      </c>
      <c r="G127" s="22" t="s">
        <v>32</v>
      </c>
      <c r="H127" s="22" t="s">
        <v>33</v>
      </c>
      <c r="I127" s="22" t="s">
        <v>564</v>
      </c>
      <c r="J127" s="22" t="s">
        <v>565</v>
      </c>
    </row>
    <row r="128" ht="14.25" customHeight="1">
      <c r="A128" s="22" t="s">
        <v>705</v>
      </c>
      <c r="B128" s="22" t="s">
        <v>8</v>
      </c>
      <c r="C128" s="22" t="str">
        <f>+'2024_Transactions'!$D128&amp;'2024_Transactions'!$E128</f>
        <v>DevinLloyd</v>
      </c>
      <c r="D128" s="22" t="s">
        <v>173</v>
      </c>
      <c r="E128" s="22" t="s">
        <v>174</v>
      </c>
      <c r="F128" s="22" t="s">
        <v>563</v>
      </c>
      <c r="G128" s="22" t="s">
        <v>32</v>
      </c>
      <c r="H128" s="22" t="s">
        <v>148</v>
      </c>
      <c r="I128" s="22" t="s">
        <v>564</v>
      </c>
      <c r="J128" s="22" t="s">
        <v>568</v>
      </c>
    </row>
    <row r="129" ht="14.25" customHeight="1">
      <c r="A129" s="22" t="s">
        <v>705</v>
      </c>
      <c r="B129" s="22" t="s">
        <v>11</v>
      </c>
      <c r="C129" s="22" t="str">
        <f>+'2024_Transactions'!$D129&amp;'2024_Transactions'!$E129</f>
        <v>ChadRyland</v>
      </c>
      <c r="D129" s="22" t="s">
        <v>609</v>
      </c>
      <c r="E129" s="22" t="s">
        <v>610</v>
      </c>
      <c r="F129" s="22" t="s">
        <v>55</v>
      </c>
      <c r="G129" s="22" t="s">
        <v>32</v>
      </c>
      <c r="H129" s="22" t="s">
        <v>213</v>
      </c>
      <c r="I129" s="22" t="s">
        <v>564</v>
      </c>
      <c r="J129" s="22" t="s">
        <v>568</v>
      </c>
    </row>
    <row r="130" ht="14.25" customHeight="1">
      <c r="A130" s="22" t="s">
        <v>705</v>
      </c>
      <c r="B130" s="22" t="s">
        <v>8</v>
      </c>
      <c r="C130" s="22" t="str">
        <f>+'2024_Transactions'!$D130&amp;'2024_Transactions'!$E130</f>
        <v>EvanEngram</v>
      </c>
      <c r="D130" s="22" t="s">
        <v>632</v>
      </c>
      <c r="E130" s="22" t="s">
        <v>669</v>
      </c>
      <c r="F130" s="22" t="s">
        <v>650</v>
      </c>
      <c r="G130" s="22" t="s">
        <v>32</v>
      </c>
      <c r="H130" s="22" t="s">
        <v>148</v>
      </c>
      <c r="I130" s="22" t="s">
        <v>564</v>
      </c>
      <c r="J130" s="22" t="s">
        <v>568</v>
      </c>
    </row>
    <row r="131" ht="14.25" customHeight="1">
      <c r="A131" s="22" t="s">
        <v>705</v>
      </c>
      <c r="B131" s="22" t="s">
        <v>13</v>
      </c>
      <c r="C131" s="22" t="str">
        <f>+'2024_Transactions'!$D131&amp;'2024_Transactions'!$E131</f>
        <v>WilLutz</v>
      </c>
      <c r="D131" s="23" t="s">
        <v>627</v>
      </c>
      <c r="E131" s="22" t="s">
        <v>628</v>
      </c>
      <c r="F131" s="22" t="s">
        <v>55</v>
      </c>
      <c r="G131" s="22" t="s">
        <v>32</v>
      </c>
      <c r="H131" s="22" t="s">
        <v>103</v>
      </c>
      <c r="I131" s="22" t="s">
        <v>564</v>
      </c>
      <c r="J131" s="22" t="s">
        <v>568</v>
      </c>
    </row>
    <row r="132" ht="14.25" customHeight="1">
      <c r="A132" s="22" t="s">
        <v>705</v>
      </c>
      <c r="B132" s="22" t="s">
        <v>11</v>
      </c>
      <c r="C132" s="22" t="str">
        <f>+'2024_Transactions'!$D132&amp;'2024_Transactions'!$E132</f>
        <v>RayDavis</v>
      </c>
      <c r="D132" s="22" t="s">
        <v>706</v>
      </c>
      <c r="E132" s="22" t="s">
        <v>530</v>
      </c>
      <c r="F132" s="22" t="s">
        <v>39</v>
      </c>
      <c r="G132" s="22" t="s">
        <v>32</v>
      </c>
      <c r="H132" s="22" t="s">
        <v>93</v>
      </c>
      <c r="I132" s="22" t="s">
        <v>564</v>
      </c>
      <c r="J132" s="22" t="s">
        <v>568</v>
      </c>
    </row>
    <row r="133" ht="14.25" customHeight="1">
      <c r="A133" s="22" t="s">
        <v>705</v>
      </c>
      <c r="B133" s="22" t="s">
        <v>12</v>
      </c>
      <c r="C133" s="22" t="str">
        <f>+'2024_Transactions'!$D133&amp;'2024_Transactions'!$E133</f>
        <v>AnthonyWalker</v>
      </c>
      <c r="D133" s="23" t="s">
        <v>370</v>
      </c>
      <c r="E133" s="22" t="s">
        <v>153</v>
      </c>
      <c r="F133" s="22" t="s">
        <v>563</v>
      </c>
      <c r="G133" s="22" t="s">
        <v>32</v>
      </c>
      <c r="H133" s="22" t="s">
        <v>58</v>
      </c>
      <c r="I133" s="22" t="s">
        <v>564</v>
      </c>
      <c r="J133" s="22" t="s">
        <v>568</v>
      </c>
    </row>
    <row r="134" ht="14.25" customHeight="1">
      <c r="A134" s="22" t="s">
        <v>705</v>
      </c>
      <c r="B134" s="22" t="s">
        <v>12</v>
      </c>
      <c r="C134" s="22" t="str">
        <f>+'2024_Transactions'!$D134&amp;'2024_Transactions'!$E134</f>
        <v>CedricTillman</v>
      </c>
      <c r="D134" s="23" t="s">
        <v>233</v>
      </c>
      <c r="E134" s="22" t="s">
        <v>707</v>
      </c>
      <c r="F134" s="22" t="s">
        <v>567</v>
      </c>
      <c r="G134" s="22" t="s">
        <v>32</v>
      </c>
      <c r="H134" s="22" t="s">
        <v>42</v>
      </c>
      <c r="I134" s="22" t="s">
        <v>564</v>
      </c>
      <c r="J134" s="22" t="s">
        <v>568</v>
      </c>
    </row>
    <row r="135" ht="14.25" customHeight="1">
      <c r="A135" s="22" t="s">
        <v>705</v>
      </c>
      <c r="B135" s="22" t="s">
        <v>8</v>
      </c>
      <c r="C135" s="22" t="str">
        <f>+'2024_Transactions'!$D135&amp;'2024_Transactions'!$E135</f>
        <v>JalenPitre</v>
      </c>
      <c r="D135" s="22" t="s">
        <v>122</v>
      </c>
      <c r="E135" s="22" t="s">
        <v>653</v>
      </c>
      <c r="F135" s="22" t="s">
        <v>573</v>
      </c>
      <c r="G135" s="22" t="s">
        <v>32</v>
      </c>
      <c r="H135" s="22" t="s">
        <v>172</v>
      </c>
      <c r="I135" s="22" t="s">
        <v>564</v>
      </c>
      <c r="J135" s="22" t="s">
        <v>568</v>
      </c>
    </row>
    <row r="136" ht="14.25" customHeight="1">
      <c r="A136" s="22" t="s">
        <v>705</v>
      </c>
      <c r="B136" s="22" t="s">
        <v>10</v>
      </c>
      <c r="C136" s="22" t="str">
        <f>+'2024_Transactions'!$D136&amp;'2024_Transactions'!$E136</f>
        <v>JaleelMcLaughlin</v>
      </c>
      <c r="D136" s="23" t="s">
        <v>708</v>
      </c>
      <c r="E136" s="22" t="s">
        <v>388</v>
      </c>
      <c r="F136" s="22" t="s">
        <v>39</v>
      </c>
      <c r="G136" s="22" t="s">
        <v>32</v>
      </c>
      <c r="H136" s="22" t="s">
        <v>103</v>
      </c>
      <c r="I136" s="22" t="s">
        <v>564</v>
      </c>
      <c r="J136" s="22" t="s">
        <v>568</v>
      </c>
    </row>
    <row r="137" ht="14.25" customHeight="1">
      <c r="A137" s="22" t="s">
        <v>705</v>
      </c>
      <c r="B137" s="22" t="s">
        <v>13</v>
      </c>
      <c r="C137" s="22" t="str">
        <f>+'2024_Transactions'!$D137&amp;'2024_Transactions'!$E137</f>
        <v>JackGibbens</v>
      </c>
      <c r="D137" s="22" t="s">
        <v>139</v>
      </c>
      <c r="E137" s="22" t="s">
        <v>674</v>
      </c>
      <c r="F137" s="22" t="s">
        <v>563</v>
      </c>
      <c r="G137" s="22" t="s">
        <v>32</v>
      </c>
      <c r="H137" s="22" t="s">
        <v>71</v>
      </c>
      <c r="I137" s="22" t="s">
        <v>564</v>
      </c>
      <c r="J137" s="22" t="s">
        <v>568</v>
      </c>
    </row>
    <row r="138" ht="14.25" customHeight="1">
      <c r="A138" s="22" t="s">
        <v>705</v>
      </c>
      <c r="B138" s="22" t="s">
        <v>10</v>
      </c>
      <c r="C138" s="22" t="str">
        <f>+'2024_Transactions'!$D138&amp;'2024_Transactions'!$E138</f>
        <v>CalvinRidley</v>
      </c>
      <c r="D138" s="23" t="s">
        <v>495</v>
      </c>
      <c r="E138" s="22" t="s">
        <v>496</v>
      </c>
      <c r="F138" s="22" t="s">
        <v>567</v>
      </c>
      <c r="G138" s="22" t="s">
        <v>32</v>
      </c>
      <c r="H138" s="22" t="s">
        <v>71</v>
      </c>
      <c r="I138" s="22" t="s">
        <v>564</v>
      </c>
      <c r="J138" s="22" t="s">
        <v>568</v>
      </c>
    </row>
    <row r="139" ht="14.25" customHeight="1">
      <c r="A139" s="22" t="s">
        <v>709</v>
      </c>
      <c r="B139" s="22" t="s">
        <v>11</v>
      </c>
      <c r="C139" s="22" t="str">
        <f>+'2024_Transactions'!$D139&amp;'2024_Transactions'!$E139</f>
        <v>RayDavis</v>
      </c>
      <c r="D139" s="22" t="s">
        <v>706</v>
      </c>
      <c r="E139" s="22" t="s">
        <v>530</v>
      </c>
      <c r="F139" s="22" t="s">
        <v>39</v>
      </c>
      <c r="G139" s="22" t="s">
        <v>32</v>
      </c>
      <c r="H139" s="22" t="s">
        <v>93</v>
      </c>
      <c r="I139" s="22" t="s">
        <v>564</v>
      </c>
      <c r="J139" s="22" t="s">
        <v>565</v>
      </c>
    </row>
    <row r="140" ht="14.25" customHeight="1">
      <c r="A140" s="22" t="s">
        <v>710</v>
      </c>
      <c r="B140" s="22" t="s">
        <v>10</v>
      </c>
      <c r="C140" s="22" t="str">
        <f>+'2024_Transactions'!$D140&amp;'2024_Transactions'!$E140</f>
        <v>DevinBush</v>
      </c>
      <c r="D140" s="22" t="s">
        <v>173</v>
      </c>
      <c r="E140" s="22" t="s">
        <v>711</v>
      </c>
      <c r="F140" s="22" t="s">
        <v>563</v>
      </c>
      <c r="G140" s="22" t="s">
        <v>32</v>
      </c>
      <c r="H140" s="22" t="s">
        <v>42</v>
      </c>
      <c r="I140" s="22" t="s">
        <v>564</v>
      </c>
      <c r="J140" s="22" t="s">
        <v>568</v>
      </c>
    </row>
    <row r="141" ht="14.25" customHeight="1">
      <c r="A141" s="22" t="s">
        <v>712</v>
      </c>
      <c r="B141" s="22" t="s">
        <v>7</v>
      </c>
      <c r="C141" s="22" t="str">
        <f>+'2024_Transactions'!$D141&amp;'2024_Transactions'!$E141</f>
        <v>BlakeGrupe</v>
      </c>
      <c r="D141" s="23" t="s">
        <v>303</v>
      </c>
      <c r="E141" s="22" t="s">
        <v>704</v>
      </c>
      <c r="F141" s="22" t="s">
        <v>55</v>
      </c>
      <c r="G141" s="22" t="s">
        <v>32</v>
      </c>
      <c r="H141" s="22" t="s">
        <v>33</v>
      </c>
      <c r="I141" s="22" t="s">
        <v>564</v>
      </c>
      <c r="J141" s="22" t="s">
        <v>568</v>
      </c>
    </row>
    <row r="142" ht="14.25" customHeight="1">
      <c r="A142" s="22" t="s">
        <v>713</v>
      </c>
      <c r="B142" s="22" t="s">
        <v>11</v>
      </c>
      <c r="C142" s="22" t="str">
        <f>+'2024_Transactions'!$D142&amp;'2024_Transactions'!$E142</f>
        <v>MohamoudDiabate</v>
      </c>
      <c r="D142" s="22" t="s">
        <v>701</v>
      </c>
      <c r="E142" s="22" t="s">
        <v>702</v>
      </c>
      <c r="F142" s="22" t="s">
        <v>604</v>
      </c>
      <c r="G142" s="22" t="s">
        <v>32</v>
      </c>
      <c r="H142" s="22" t="s">
        <v>42</v>
      </c>
      <c r="I142" s="22" t="s">
        <v>564</v>
      </c>
      <c r="J142" s="22" t="s">
        <v>568</v>
      </c>
    </row>
    <row r="143" ht="14.25" customHeight="1">
      <c r="A143" s="22" t="s">
        <v>713</v>
      </c>
      <c r="B143" s="22" t="s">
        <v>5</v>
      </c>
      <c r="C143" s="22" t="str">
        <f>+'2024_Transactions'!$D143&amp;'2024_Transactions'!$E143</f>
        <v>JaylonJones</v>
      </c>
      <c r="D143" s="22" t="s">
        <v>104</v>
      </c>
      <c r="E143" s="22" t="s">
        <v>102</v>
      </c>
      <c r="F143" s="22" t="s">
        <v>573</v>
      </c>
      <c r="G143" s="22" t="s">
        <v>32</v>
      </c>
      <c r="H143" s="22" t="s">
        <v>105</v>
      </c>
      <c r="I143" s="22" t="s">
        <v>564</v>
      </c>
      <c r="J143" s="22" t="s">
        <v>568</v>
      </c>
    </row>
    <row r="144" ht="14.25" customHeight="1">
      <c r="A144" s="22" t="s">
        <v>714</v>
      </c>
      <c r="B144" s="22" t="s">
        <v>11</v>
      </c>
      <c r="C144" s="22" t="str">
        <f>+'2024_Transactions'!$D144&amp;'2024_Transactions'!$E144</f>
        <v>C.J.Mosley</v>
      </c>
      <c r="D144" s="22" t="s">
        <v>469</v>
      </c>
      <c r="E144" s="22" t="s">
        <v>637</v>
      </c>
      <c r="F144" s="22" t="s">
        <v>563</v>
      </c>
      <c r="G144" s="22" t="s">
        <v>32</v>
      </c>
      <c r="H144" s="22" t="s">
        <v>49</v>
      </c>
      <c r="I144" s="22" t="s">
        <v>564</v>
      </c>
      <c r="J144" s="22" t="s">
        <v>565</v>
      </c>
    </row>
    <row r="145" ht="14.25" customHeight="1">
      <c r="A145" s="22" t="s">
        <v>715</v>
      </c>
      <c r="B145" s="22" t="s">
        <v>8</v>
      </c>
      <c r="C145" s="22" t="str">
        <f>+'2024_Transactions'!$D145&amp;'2024_Transactions'!$E145</f>
        <v>DamarHamlin</v>
      </c>
      <c r="D145" s="22" t="s">
        <v>505</v>
      </c>
      <c r="E145" s="22" t="s">
        <v>506</v>
      </c>
      <c r="F145" s="22" t="s">
        <v>573</v>
      </c>
      <c r="G145" s="22" t="s">
        <v>32</v>
      </c>
      <c r="H145" s="22" t="s">
        <v>93</v>
      </c>
      <c r="I145" s="22" t="s">
        <v>564</v>
      </c>
      <c r="J145" s="22" t="s">
        <v>565</v>
      </c>
    </row>
    <row r="146" ht="14.25" customHeight="1">
      <c r="A146" s="22" t="s">
        <v>715</v>
      </c>
      <c r="B146" s="22" t="s">
        <v>8</v>
      </c>
      <c r="C146" s="22" t="str">
        <f>+'2024_Transactions'!$D146&amp;'2024_Transactions'!$E146</f>
        <v>KeenanAllen</v>
      </c>
      <c r="D146" s="22" t="s">
        <v>445</v>
      </c>
      <c r="E146" s="22" t="s">
        <v>94</v>
      </c>
      <c r="F146" s="22" t="s">
        <v>567</v>
      </c>
      <c r="G146" s="22" t="s">
        <v>32</v>
      </c>
      <c r="H146" s="22" t="s">
        <v>66</v>
      </c>
      <c r="I146" s="22" t="s">
        <v>564</v>
      </c>
      <c r="J146" s="22" t="s">
        <v>565</v>
      </c>
    </row>
    <row r="147" ht="14.25" customHeight="1">
      <c r="A147" s="22" t="s">
        <v>716</v>
      </c>
      <c r="B147" s="22" t="s">
        <v>13</v>
      </c>
      <c r="C147" s="22" t="str">
        <f>+'2024_Transactions'!$D147&amp;'2024_Transactions'!$E147</f>
        <v>TyChandler</v>
      </c>
      <c r="D147" s="22" t="s">
        <v>207</v>
      </c>
      <c r="E147" s="22" t="s">
        <v>717</v>
      </c>
      <c r="F147" s="22" t="s">
        <v>39</v>
      </c>
      <c r="G147" s="22" t="s">
        <v>32</v>
      </c>
      <c r="H147" s="22" t="s">
        <v>79</v>
      </c>
      <c r="I147" s="22" t="s">
        <v>564</v>
      </c>
      <c r="J147" s="22" t="s">
        <v>565</v>
      </c>
    </row>
    <row r="148" ht="14.25" customHeight="1">
      <c r="A148" s="22" t="s">
        <v>718</v>
      </c>
      <c r="B148" s="22" t="s">
        <v>11</v>
      </c>
      <c r="C148" s="22" t="str">
        <f>+'2024_Transactions'!$D148&amp;'2024_Transactions'!$E148</f>
        <v>DaRonBland</v>
      </c>
      <c r="D148" s="22" t="s">
        <v>231</v>
      </c>
      <c r="E148" s="22" t="s">
        <v>232</v>
      </c>
      <c r="F148" s="22" t="s">
        <v>573</v>
      </c>
      <c r="G148" s="22" t="s">
        <v>32</v>
      </c>
      <c r="H148" s="22" t="s">
        <v>87</v>
      </c>
      <c r="I148" s="22" t="s">
        <v>564</v>
      </c>
      <c r="J148" s="22" t="s">
        <v>565</v>
      </c>
    </row>
    <row r="149" ht="14.25" customHeight="1">
      <c r="A149" s="22" t="s">
        <v>719</v>
      </c>
      <c r="B149" s="22" t="s">
        <v>5</v>
      </c>
      <c r="C149" s="22" t="str">
        <f>+'2024_Transactions'!$D149&amp;'2024_Transactions'!$E149</f>
        <v>GardnerMinshew</v>
      </c>
      <c r="D149" s="22" t="s">
        <v>720</v>
      </c>
      <c r="E149" s="22" t="s">
        <v>721</v>
      </c>
      <c r="F149" s="22" t="s">
        <v>29</v>
      </c>
      <c r="G149" s="22" t="s">
        <v>32</v>
      </c>
      <c r="H149" s="22" t="s">
        <v>76</v>
      </c>
      <c r="I149" s="22" t="s">
        <v>564</v>
      </c>
      <c r="J149" s="22" t="s">
        <v>565</v>
      </c>
    </row>
    <row r="150" ht="14.25" customHeight="1">
      <c r="A150" s="22" t="s">
        <v>722</v>
      </c>
      <c r="B150" s="22" t="s">
        <v>11</v>
      </c>
      <c r="C150" s="22" t="str">
        <f>+'2024_Transactions'!$D150&amp;'2024_Transactions'!$E150</f>
        <v>WillReichard</v>
      </c>
      <c r="D150" s="23" t="s">
        <v>430</v>
      </c>
      <c r="E150" s="22" t="s">
        <v>607</v>
      </c>
      <c r="F150" s="22" t="s">
        <v>55</v>
      </c>
      <c r="G150" s="22" t="s">
        <v>32</v>
      </c>
      <c r="H150" s="22" t="s">
        <v>79</v>
      </c>
      <c r="I150" s="22" t="s">
        <v>564</v>
      </c>
      <c r="J150" s="22" t="s">
        <v>568</v>
      </c>
    </row>
    <row r="151" ht="14.25" customHeight="1">
      <c r="A151" s="22" t="s">
        <v>722</v>
      </c>
      <c r="B151" s="22" t="s">
        <v>8</v>
      </c>
      <c r="C151" s="22" t="str">
        <f>+'2024_Transactions'!$D151&amp;'2024_Transactions'!$E151</f>
        <v>BrandonJones</v>
      </c>
      <c r="D151" s="22" t="s">
        <v>101</v>
      </c>
      <c r="E151" s="22" t="s">
        <v>102</v>
      </c>
      <c r="F151" s="22" t="s">
        <v>573</v>
      </c>
      <c r="G151" s="22" t="s">
        <v>32</v>
      </c>
      <c r="H151" s="22" t="s">
        <v>103</v>
      </c>
      <c r="I151" s="22" t="s">
        <v>564</v>
      </c>
      <c r="J151" s="22" t="s">
        <v>568</v>
      </c>
    </row>
    <row r="152" ht="14.25" customHeight="1">
      <c r="A152" s="22" t="s">
        <v>722</v>
      </c>
      <c r="B152" s="22" t="s">
        <v>13</v>
      </c>
      <c r="C152" s="22" t="str">
        <f>+'2024_Transactions'!$D152&amp;'2024_Transactions'!$E152</f>
        <v>IsaacGuerendo</v>
      </c>
      <c r="D152" s="22" t="s">
        <v>154</v>
      </c>
      <c r="E152" s="22" t="s">
        <v>155</v>
      </c>
      <c r="F152" s="22" t="s">
        <v>39</v>
      </c>
      <c r="G152" s="22" t="s">
        <v>32</v>
      </c>
      <c r="H152" s="22" t="s">
        <v>37</v>
      </c>
      <c r="I152" s="22" t="s">
        <v>564</v>
      </c>
      <c r="J152" s="22" t="s">
        <v>568</v>
      </c>
    </row>
    <row r="153" ht="14.25" customHeight="1">
      <c r="A153" s="22" t="s">
        <v>722</v>
      </c>
      <c r="B153" s="22" t="s">
        <v>11</v>
      </c>
      <c r="C153" s="22" t="str">
        <f>+'2024_Transactions'!$D153&amp;'2024_Transactions'!$E153</f>
        <v>De'VondreCampbell</v>
      </c>
      <c r="D153" s="22" t="s">
        <v>584</v>
      </c>
      <c r="E153" s="22" t="s">
        <v>140</v>
      </c>
      <c r="F153" s="22" t="s">
        <v>563</v>
      </c>
      <c r="G153" s="22" t="s">
        <v>32</v>
      </c>
      <c r="H153" s="22" t="s">
        <v>37</v>
      </c>
      <c r="I153" s="22" t="s">
        <v>564</v>
      </c>
      <c r="J153" s="22" t="s">
        <v>568</v>
      </c>
    </row>
    <row r="154" ht="14.25" customHeight="1">
      <c r="A154" s="22" t="s">
        <v>722</v>
      </c>
      <c r="B154" s="22" t="s">
        <v>8</v>
      </c>
      <c r="C154" s="22" t="str">
        <f>+'2024_Transactions'!$D154&amp;'2024_Transactions'!$E154</f>
        <v>JoeFlacco</v>
      </c>
      <c r="D154" s="22" t="s">
        <v>219</v>
      </c>
      <c r="E154" s="22" t="s">
        <v>723</v>
      </c>
      <c r="F154" s="22" t="s">
        <v>29</v>
      </c>
      <c r="G154" s="22" t="s">
        <v>32</v>
      </c>
      <c r="H154" s="22" t="s">
        <v>105</v>
      </c>
      <c r="I154" s="22" t="s">
        <v>564</v>
      </c>
      <c r="J154" s="22" t="s">
        <v>568</v>
      </c>
    </row>
    <row r="155" ht="14.25" customHeight="1">
      <c r="A155" s="22" t="s">
        <v>722</v>
      </c>
      <c r="B155" s="22" t="s">
        <v>6</v>
      </c>
      <c r="C155" s="22" t="str">
        <f>+'2024_Transactions'!$D155&amp;'2024_Transactions'!$E155</f>
        <v>JartaviusMartin</v>
      </c>
      <c r="D155" s="23" t="s">
        <v>543</v>
      </c>
      <c r="E155" s="22" t="s">
        <v>544</v>
      </c>
      <c r="F155" s="22" t="s">
        <v>573</v>
      </c>
      <c r="G155" s="22" t="s">
        <v>32</v>
      </c>
      <c r="H155" s="22" t="s">
        <v>98</v>
      </c>
      <c r="I155" s="22" t="s">
        <v>564</v>
      </c>
      <c r="J155" s="22" t="s">
        <v>568</v>
      </c>
    </row>
    <row r="156" ht="14.25" customHeight="1">
      <c r="A156" s="22" t="s">
        <v>722</v>
      </c>
      <c r="B156" s="22" t="s">
        <v>5</v>
      </c>
      <c r="C156" s="22" t="str">
        <f>+'2024_Transactions'!$D156&amp;'2024_Transactions'!$E156</f>
        <v>GardnerMinshew</v>
      </c>
      <c r="D156" s="23" t="s">
        <v>720</v>
      </c>
      <c r="E156" s="22" t="s">
        <v>721</v>
      </c>
      <c r="F156" s="22" t="s">
        <v>29</v>
      </c>
      <c r="G156" s="22" t="s">
        <v>32</v>
      </c>
      <c r="H156" s="22" t="s">
        <v>76</v>
      </c>
      <c r="I156" s="22" t="s">
        <v>564</v>
      </c>
      <c r="J156" s="22" t="s">
        <v>568</v>
      </c>
    </row>
    <row r="157" ht="14.25" customHeight="1">
      <c r="A157" s="22" t="s">
        <v>722</v>
      </c>
      <c r="B157" s="22" t="s">
        <v>13</v>
      </c>
      <c r="C157" s="22" t="str">
        <f>+'2024_Transactions'!$D157&amp;'2024_Transactions'!$E157</f>
        <v>VentrellMiller</v>
      </c>
      <c r="D157" s="23" t="s">
        <v>724</v>
      </c>
      <c r="E157" s="22" t="s">
        <v>407</v>
      </c>
      <c r="F157" s="22" t="s">
        <v>563</v>
      </c>
      <c r="G157" s="22" t="s">
        <v>32</v>
      </c>
      <c r="H157" s="22" t="s">
        <v>148</v>
      </c>
      <c r="I157" s="22" t="s">
        <v>564</v>
      </c>
      <c r="J157" s="22" t="s">
        <v>568</v>
      </c>
    </row>
    <row r="158" ht="14.25" customHeight="1">
      <c r="A158" s="22" t="s">
        <v>722</v>
      </c>
      <c r="B158" s="22" t="s">
        <v>13</v>
      </c>
      <c r="C158" s="22" t="str">
        <f>+'2024_Transactions'!$D158&amp;'2024_Transactions'!$E158</f>
        <v>MarkAndrews</v>
      </c>
      <c r="D158" s="23" t="s">
        <v>338</v>
      </c>
      <c r="E158" s="22" t="s">
        <v>339</v>
      </c>
      <c r="F158" s="22" t="s">
        <v>650</v>
      </c>
      <c r="G158" s="22" t="s">
        <v>32</v>
      </c>
      <c r="H158" s="22" t="s">
        <v>179</v>
      </c>
      <c r="I158" s="22" t="s">
        <v>564</v>
      </c>
      <c r="J158" s="22" t="s">
        <v>568</v>
      </c>
    </row>
    <row r="159" ht="14.25" customHeight="1">
      <c r="A159" s="22" t="s">
        <v>722</v>
      </c>
      <c r="B159" s="22" t="s">
        <v>13</v>
      </c>
      <c r="C159" s="22" t="str">
        <f>+'2024_Transactions'!$D159&amp;'2024_Transactions'!$E159</f>
        <v>JoshDowns</v>
      </c>
      <c r="D159" s="23" t="s">
        <v>43</v>
      </c>
      <c r="E159" s="22" t="s">
        <v>725</v>
      </c>
      <c r="F159" s="22" t="s">
        <v>567</v>
      </c>
      <c r="G159" s="22" t="s">
        <v>32</v>
      </c>
      <c r="H159" s="22" t="s">
        <v>105</v>
      </c>
      <c r="I159" s="22" t="s">
        <v>564</v>
      </c>
      <c r="J159" s="22" t="s">
        <v>568</v>
      </c>
    </row>
    <row r="160" ht="14.25" customHeight="1">
      <c r="A160" s="22" t="s">
        <v>722</v>
      </c>
      <c r="B160" s="22" t="s">
        <v>12</v>
      </c>
      <c r="C160" s="22" t="str">
        <f>+'2024_Transactions'!$D160&amp;'2024_Transactions'!$E160</f>
        <v>PeteWerner</v>
      </c>
      <c r="D160" s="23" t="s">
        <v>209</v>
      </c>
      <c r="E160" s="22" t="s">
        <v>210</v>
      </c>
      <c r="F160" s="22" t="s">
        <v>563</v>
      </c>
      <c r="G160" s="22" t="s">
        <v>32</v>
      </c>
      <c r="H160" s="22" t="s">
        <v>33</v>
      </c>
      <c r="I160" s="22" t="s">
        <v>564</v>
      </c>
      <c r="J160" s="22" t="s">
        <v>568</v>
      </c>
    </row>
    <row r="161" ht="14.25" customHeight="1">
      <c r="A161" s="22" t="s">
        <v>722</v>
      </c>
      <c r="B161" s="22" t="s">
        <v>5</v>
      </c>
      <c r="C161" s="22" t="str">
        <f>+'2024_Transactions'!$D161&amp;'2024_Transactions'!$E161</f>
        <v>JameisWinston</v>
      </c>
      <c r="D161" s="23" t="s">
        <v>83</v>
      </c>
      <c r="E161" s="22" t="s">
        <v>84</v>
      </c>
      <c r="F161" s="22" t="s">
        <v>29</v>
      </c>
      <c r="G161" s="22" t="s">
        <v>32</v>
      </c>
      <c r="H161" s="22" t="s">
        <v>42</v>
      </c>
      <c r="I161" s="22" t="s">
        <v>564</v>
      </c>
      <c r="J161" s="22" t="s">
        <v>568</v>
      </c>
    </row>
    <row r="162" ht="14.25" customHeight="1">
      <c r="A162" s="22" t="s">
        <v>726</v>
      </c>
      <c r="B162" s="22" t="s">
        <v>11</v>
      </c>
      <c r="C162" s="22" t="str">
        <f>+'2024_Transactions'!$D162&amp;'2024_Transactions'!$E162</f>
        <v>RaheemMostert</v>
      </c>
      <c r="D162" s="23" t="s">
        <v>625</v>
      </c>
      <c r="E162" s="22" t="s">
        <v>626</v>
      </c>
      <c r="F162" s="22" t="s">
        <v>39</v>
      </c>
      <c r="G162" s="22" t="s">
        <v>32</v>
      </c>
      <c r="H162" s="22" t="s">
        <v>58</v>
      </c>
      <c r="I162" s="22" t="s">
        <v>564</v>
      </c>
      <c r="J162" s="22" t="s">
        <v>568</v>
      </c>
    </row>
    <row r="163" ht="14.25" customHeight="1">
      <c r="A163" s="22" t="s">
        <v>727</v>
      </c>
      <c r="B163" s="22" t="s">
        <v>10</v>
      </c>
      <c r="C163" s="22" t="str">
        <f>+'2024_Transactions'!$D163&amp;'2024_Transactions'!$E163</f>
        <v>CadeOtton</v>
      </c>
      <c r="D163" s="23" t="s">
        <v>648</v>
      </c>
      <c r="E163" s="22" t="s">
        <v>649</v>
      </c>
      <c r="F163" s="22" t="s">
        <v>650</v>
      </c>
      <c r="G163" s="22" t="s">
        <v>32</v>
      </c>
      <c r="H163" s="22" t="s">
        <v>238</v>
      </c>
      <c r="I163" s="22" t="s">
        <v>564</v>
      </c>
      <c r="J163" s="22" t="s">
        <v>568</v>
      </c>
    </row>
    <row r="164" ht="14.25" customHeight="1">
      <c r="A164" s="22" t="s">
        <v>728</v>
      </c>
      <c r="B164" s="22" t="s">
        <v>8</v>
      </c>
      <c r="C164" s="22" t="str">
        <f>+'2024_Transactions'!$D164&amp;'2024_Transactions'!$E164</f>
        <v>JustinFields</v>
      </c>
      <c r="D164" s="22" t="s">
        <v>194</v>
      </c>
      <c r="E164" s="22" t="s">
        <v>729</v>
      </c>
      <c r="F164" s="22" t="s">
        <v>29</v>
      </c>
      <c r="G164" s="22" t="s">
        <v>32</v>
      </c>
      <c r="H164" s="22" t="s">
        <v>170</v>
      </c>
      <c r="I164" s="22" t="s">
        <v>564</v>
      </c>
      <c r="J164" s="22" t="s">
        <v>565</v>
      </c>
    </row>
    <row r="165" ht="14.25" customHeight="1">
      <c r="A165" s="22" t="s">
        <v>730</v>
      </c>
      <c r="B165" s="22" t="s">
        <v>12</v>
      </c>
      <c r="C165" s="22" t="str">
        <f>+'2024_Transactions'!$D165&amp;'2024_Transactions'!$E165</f>
        <v>K.J.Britt</v>
      </c>
      <c r="D165" s="23" t="s">
        <v>731</v>
      </c>
      <c r="E165" s="22" t="s">
        <v>732</v>
      </c>
      <c r="F165" s="22" t="s">
        <v>563</v>
      </c>
      <c r="G165" s="22" t="s">
        <v>32</v>
      </c>
      <c r="H165" s="22" t="s">
        <v>238</v>
      </c>
      <c r="I165" s="22" t="s">
        <v>564</v>
      </c>
      <c r="J165" s="22" t="s">
        <v>568</v>
      </c>
    </row>
    <row r="166" ht="14.25" customHeight="1">
      <c r="A166" s="22" t="s">
        <v>733</v>
      </c>
      <c r="B166" s="22" t="s">
        <v>12</v>
      </c>
      <c r="C166" s="22" t="str">
        <f>+'2024_Transactions'!$D166&amp;'2024_Transactions'!$E166</f>
        <v>K.J.Britt</v>
      </c>
      <c r="D166" s="22" t="s">
        <v>731</v>
      </c>
      <c r="E166" s="22" t="s">
        <v>732</v>
      </c>
      <c r="F166" s="22" t="s">
        <v>563</v>
      </c>
      <c r="G166" s="22" t="s">
        <v>32</v>
      </c>
      <c r="H166" s="22" t="s">
        <v>238</v>
      </c>
      <c r="I166" s="22" t="s">
        <v>564</v>
      </c>
      <c r="J166" s="22" t="s">
        <v>565</v>
      </c>
    </row>
    <row r="167" ht="14.25" customHeight="1">
      <c r="A167" s="22" t="s">
        <v>734</v>
      </c>
      <c r="B167" s="22" t="s">
        <v>7</v>
      </c>
      <c r="C167" s="22" t="str">
        <f>+'2024_Transactions'!$D167&amp;'2024_Transactions'!$E167</f>
        <v>BrianBurns</v>
      </c>
      <c r="D167" s="22" t="s">
        <v>158</v>
      </c>
      <c r="E167" s="22" t="s">
        <v>328</v>
      </c>
      <c r="F167" s="22" t="s">
        <v>604</v>
      </c>
      <c r="G167" s="22" t="s">
        <v>32</v>
      </c>
      <c r="H167" s="22" t="s">
        <v>82</v>
      </c>
      <c r="I167" s="22" t="s">
        <v>564</v>
      </c>
      <c r="J167" s="22" t="s">
        <v>568</v>
      </c>
    </row>
    <row r="168" ht="14.25" customHeight="1">
      <c r="A168" s="22" t="s">
        <v>735</v>
      </c>
      <c r="B168" s="22" t="s">
        <v>13</v>
      </c>
      <c r="C168" s="22" t="str">
        <f>+'2024_Transactions'!$D168&amp;'2024_Transactions'!$E168</f>
        <v>HunterHenry</v>
      </c>
      <c r="D168" s="22" t="s">
        <v>348</v>
      </c>
      <c r="E168" s="22" t="s">
        <v>250</v>
      </c>
      <c r="F168" s="22" t="s">
        <v>650</v>
      </c>
      <c r="G168" s="22" t="s">
        <v>32</v>
      </c>
      <c r="H168" s="22" t="s">
        <v>444</v>
      </c>
      <c r="I168" s="22" t="s">
        <v>564</v>
      </c>
      <c r="J168" s="22" t="s">
        <v>568</v>
      </c>
    </row>
    <row r="169" ht="14.25" customHeight="1">
      <c r="A169" s="22" t="s">
        <v>735</v>
      </c>
      <c r="B169" s="22" t="s">
        <v>5</v>
      </c>
      <c r="C169" s="22" t="str">
        <f>+'2024_Transactions'!$D169&amp;'2024_Transactions'!$E169</f>
        <v>DalvinCook</v>
      </c>
      <c r="D169" s="23" t="s">
        <v>736</v>
      </c>
      <c r="E169" s="22" t="s">
        <v>335</v>
      </c>
      <c r="F169" s="22" t="s">
        <v>39</v>
      </c>
      <c r="G169" s="22" t="s">
        <v>32</v>
      </c>
      <c r="H169" s="22" t="s">
        <v>87</v>
      </c>
      <c r="I169" s="22" t="s">
        <v>564</v>
      </c>
      <c r="J169" s="22" t="s">
        <v>568</v>
      </c>
    </row>
    <row r="170" ht="14.25" customHeight="1">
      <c r="A170" s="22" t="s">
        <v>737</v>
      </c>
      <c r="B170" s="22" t="s">
        <v>10</v>
      </c>
      <c r="C170" s="22" t="str">
        <f>+'2024_Transactions'!$D170&amp;'2024_Transactions'!$E170</f>
        <v>TyriceKnight</v>
      </c>
      <c r="D170" s="23" t="s">
        <v>205</v>
      </c>
      <c r="E170" s="22" t="s">
        <v>206</v>
      </c>
      <c r="F170" s="22" t="s">
        <v>563</v>
      </c>
      <c r="G170" s="22" t="s">
        <v>32</v>
      </c>
      <c r="H170" s="22" t="s">
        <v>110</v>
      </c>
      <c r="I170" s="22" t="s">
        <v>564</v>
      </c>
      <c r="J170" s="22" t="s">
        <v>568</v>
      </c>
    </row>
    <row r="171" ht="14.25" customHeight="1">
      <c r="A171" s="22" t="s">
        <v>737</v>
      </c>
      <c r="B171" s="22" t="s">
        <v>10</v>
      </c>
      <c r="C171" s="22" t="str">
        <f>+'2024_Transactions'!$D171&amp;'2024_Transactions'!$E171</f>
        <v>JustinStrnad</v>
      </c>
      <c r="D171" s="23" t="s">
        <v>194</v>
      </c>
      <c r="E171" s="22" t="s">
        <v>692</v>
      </c>
      <c r="F171" s="22" t="s">
        <v>563</v>
      </c>
      <c r="G171" s="22" t="s">
        <v>32</v>
      </c>
      <c r="H171" s="22" t="s">
        <v>103</v>
      </c>
      <c r="I171" s="22" t="s">
        <v>564</v>
      </c>
      <c r="J171" s="22" t="s">
        <v>568</v>
      </c>
    </row>
    <row r="172" ht="14.25" customHeight="1">
      <c r="A172" s="22" t="s">
        <v>738</v>
      </c>
      <c r="B172" s="22" t="s">
        <v>11</v>
      </c>
      <c r="C172" s="22" t="str">
        <f>+'2024_Transactions'!$D172&amp;'2024_Transactions'!$E172</f>
        <v>JameisWinston</v>
      </c>
      <c r="D172" s="22" t="s">
        <v>83</v>
      </c>
      <c r="E172" s="22" t="s">
        <v>84</v>
      </c>
      <c r="F172" s="22" t="s">
        <v>29</v>
      </c>
      <c r="G172" s="22" t="s">
        <v>32</v>
      </c>
      <c r="H172" s="22" t="s">
        <v>42</v>
      </c>
      <c r="I172" s="22" t="s">
        <v>564</v>
      </c>
      <c r="J172" s="22" t="s">
        <v>565</v>
      </c>
    </row>
    <row r="173" ht="14.25" customHeight="1">
      <c r="A173" s="22" t="s">
        <v>739</v>
      </c>
      <c r="B173" s="22" t="s">
        <v>8</v>
      </c>
      <c r="C173" s="22" t="str">
        <f>+'2024_Transactions'!$D173&amp;'2024_Transactions'!$E173</f>
        <v>MackWilson</v>
      </c>
      <c r="D173" s="22" t="s">
        <v>740</v>
      </c>
      <c r="E173" s="22" t="s">
        <v>215</v>
      </c>
      <c r="F173" s="22" t="s">
        <v>563</v>
      </c>
      <c r="G173" s="22" t="s">
        <v>32</v>
      </c>
      <c r="H173" s="22" t="s">
        <v>213</v>
      </c>
      <c r="I173" s="22" t="s">
        <v>564</v>
      </c>
      <c r="J173" s="22" t="s">
        <v>565</v>
      </c>
    </row>
    <row r="174" ht="14.25" customHeight="1">
      <c r="A174" s="22" t="s">
        <v>741</v>
      </c>
      <c r="B174" s="22" t="s">
        <v>8</v>
      </c>
      <c r="C174" s="22" t="str">
        <f>+'2024_Transactions'!$D174&amp;'2024_Transactions'!$E174</f>
        <v>TutuAtwell</v>
      </c>
      <c r="D174" s="22" t="s">
        <v>742</v>
      </c>
      <c r="E174" s="22" t="s">
        <v>743</v>
      </c>
      <c r="F174" s="22" t="s">
        <v>567</v>
      </c>
      <c r="G174" s="22" t="s">
        <v>32</v>
      </c>
      <c r="H174" s="22" t="s">
        <v>136</v>
      </c>
      <c r="I174" s="22" t="s">
        <v>564</v>
      </c>
      <c r="J174" s="22" t="s">
        <v>565</v>
      </c>
    </row>
    <row r="175" ht="14.25" customHeight="1">
      <c r="A175" s="22" t="s">
        <v>744</v>
      </c>
      <c r="B175" s="22" t="s">
        <v>8</v>
      </c>
      <c r="C175" s="22" t="str">
        <f>+'2024_Transactions'!$D175&amp;'2024_Transactions'!$E175</f>
        <v>EricWilson</v>
      </c>
      <c r="D175" s="22" t="s">
        <v>484</v>
      </c>
      <c r="E175" s="22" t="s">
        <v>215</v>
      </c>
      <c r="F175" s="22" t="s">
        <v>563</v>
      </c>
      <c r="G175" s="22" t="s">
        <v>32</v>
      </c>
      <c r="H175" s="22" t="s">
        <v>45</v>
      </c>
      <c r="I175" s="22" t="s">
        <v>564</v>
      </c>
      <c r="J175" s="22" t="s">
        <v>568</v>
      </c>
    </row>
    <row r="176" ht="14.25" customHeight="1">
      <c r="A176" s="22" t="s">
        <v>744</v>
      </c>
      <c r="B176" s="22" t="s">
        <v>11</v>
      </c>
      <c r="C176" s="22" t="str">
        <f>+'2024_Transactions'!$D176&amp;'2024_Transactions'!$E176</f>
        <v>AlontaeTaylor</v>
      </c>
      <c r="D176" s="23" t="s">
        <v>416</v>
      </c>
      <c r="E176" s="22" t="s">
        <v>161</v>
      </c>
      <c r="F176" s="22" t="s">
        <v>573</v>
      </c>
      <c r="G176" s="22" t="s">
        <v>32</v>
      </c>
      <c r="H176" s="22" t="s">
        <v>33</v>
      </c>
      <c r="I176" s="22" t="s">
        <v>564</v>
      </c>
      <c r="J176" s="22" t="s">
        <v>568</v>
      </c>
    </row>
    <row r="177" ht="14.25" customHeight="1">
      <c r="A177" s="22" t="s">
        <v>744</v>
      </c>
      <c r="B177" s="22" t="s">
        <v>13</v>
      </c>
      <c r="C177" s="22" t="str">
        <f>+'2024_Transactions'!$D177&amp;'2024_Transactions'!$E177</f>
        <v>DexterLawrence</v>
      </c>
      <c r="D177" s="23" t="s">
        <v>745</v>
      </c>
      <c r="E177" s="22" t="s">
        <v>511</v>
      </c>
      <c r="F177" s="22" t="s">
        <v>604</v>
      </c>
      <c r="G177" s="22" t="s">
        <v>32</v>
      </c>
      <c r="H177" s="22" t="s">
        <v>82</v>
      </c>
      <c r="I177" s="22" t="s">
        <v>564</v>
      </c>
      <c r="J177" s="22" t="s">
        <v>568</v>
      </c>
    </row>
    <row r="178" ht="14.25" customHeight="1">
      <c r="A178" s="22" t="s">
        <v>744</v>
      </c>
      <c r="B178" s="22" t="s">
        <v>8</v>
      </c>
      <c r="C178" s="22" t="str">
        <f>+'2024_Transactions'!$D178&amp;'2024_Transactions'!$E178</f>
        <v>DamarHamlin</v>
      </c>
      <c r="D178" s="22" t="s">
        <v>505</v>
      </c>
      <c r="E178" s="22" t="s">
        <v>506</v>
      </c>
      <c r="F178" s="22" t="s">
        <v>573</v>
      </c>
      <c r="G178" s="22" t="s">
        <v>32</v>
      </c>
      <c r="H178" s="22" t="s">
        <v>93</v>
      </c>
      <c r="I178" s="22" t="s">
        <v>564</v>
      </c>
      <c r="J178" s="22" t="s">
        <v>568</v>
      </c>
    </row>
    <row r="179" ht="14.25" customHeight="1">
      <c r="A179" s="22" t="s">
        <v>744</v>
      </c>
      <c r="B179" s="22" t="s">
        <v>11</v>
      </c>
      <c r="C179" s="22" t="str">
        <f>+'2024_Transactions'!$D179&amp;'2024_Transactions'!$E179</f>
        <v>JameisWinston</v>
      </c>
      <c r="D179" s="23" t="s">
        <v>83</v>
      </c>
      <c r="E179" s="22" t="s">
        <v>84</v>
      </c>
      <c r="F179" s="22" t="s">
        <v>29</v>
      </c>
      <c r="G179" s="22" t="s">
        <v>32</v>
      </c>
      <c r="H179" s="22" t="s">
        <v>42</v>
      </c>
      <c r="I179" s="22" t="s">
        <v>564</v>
      </c>
      <c r="J179" s="22" t="s">
        <v>568</v>
      </c>
    </row>
    <row r="180" ht="14.25" customHeight="1">
      <c r="A180" s="22" t="s">
        <v>744</v>
      </c>
      <c r="B180" s="22" t="s">
        <v>12</v>
      </c>
      <c r="C180" s="22" t="str">
        <f>+'2024_Transactions'!$D180&amp;'2024_Transactions'!$E180</f>
        <v>DavidNjoku</v>
      </c>
      <c r="D180" s="22" t="s">
        <v>264</v>
      </c>
      <c r="E180" s="22" t="s">
        <v>746</v>
      </c>
      <c r="F180" s="22" t="s">
        <v>650</v>
      </c>
      <c r="G180" s="22" t="s">
        <v>32</v>
      </c>
      <c r="H180" s="22" t="s">
        <v>42</v>
      </c>
      <c r="I180" s="22" t="s">
        <v>564</v>
      </c>
      <c r="J180" s="22" t="s">
        <v>568</v>
      </c>
    </row>
    <row r="181" ht="14.25" customHeight="1">
      <c r="A181" s="22" t="s">
        <v>744</v>
      </c>
      <c r="B181" s="22" t="s">
        <v>12</v>
      </c>
      <c r="C181" s="22" t="str">
        <f>+'2024_Transactions'!$D181&amp;'2024_Transactions'!$E181</f>
        <v>NevilleHewitt</v>
      </c>
      <c r="D181" s="23" t="s">
        <v>575</v>
      </c>
      <c r="E181" s="22" t="s">
        <v>576</v>
      </c>
      <c r="F181" s="22" t="s">
        <v>563</v>
      </c>
      <c r="G181" s="22" t="s">
        <v>32</v>
      </c>
      <c r="H181" s="22" t="s">
        <v>172</v>
      </c>
      <c r="I181" s="22" t="s">
        <v>564</v>
      </c>
      <c r="J181" s="22" t="s">
        <v>568</v>
      </c>
    </row>
    <row r="182" ht="14.25" customHeight="1">
      <c r="A182" s="22" t="s">
        <v>744</v>
      </c>
      <c r="B182" s="22" t="s">
        <v>6</v>
      </c>
      <c r="C182" s="22" t="str">
        <f>+'2024_Transactions'!$D182&amp;'2024_Transactions'!$E182</f>
        <v>GrantStuard</v>
      </c>
      <c r="D182" s="22" t="s">
        <v>67</v>
      </c>
      <c r="E182" s="22" t="s">
        <v>747</v>
      </c>
      <c r="F182" s="22" t="s">
        <v>563</v>
      </c>
      <c r="G182" s="22" t="s">
        <v>32</v>
      </c>
      <c r="H182" s="22" t="s">
        <v>105</v>
      </c>
      <c r="I182" s="22" t="s">
        <v>564</v>
      </c>
      <c r="J182" s="22" t="s">
        <v>568</v>
      </c>
    </row>
    <row r="183" ht="14.25" customHeight="1">
      <c r="A183" s="22" t="s">
        <v>744</v>
      </c>
      <c r="B183" s="22" t="s">
        <v>9</v>
      </c>
      <c r="C183" s="22" t="str">
        <f>+'2024_Transactions'!$D183&amp;'2024_Transactions'!$E183</f>
        <v>DeAndreHopkins</v>
      </c>
      <c r="D183" s="23" t="s">
        <v>425</v>
      </c>
      <c r="E183" s="22" t="s">
        <v>426</v>
      </c>
      <c r="F183" s="22" t="s">
        <v>567</v>
      </c>
      <c r="G183" s="22" t="s">
        <v>32</v>
      </c>
      <c r="H183" s="22" t="s">
        <v>90</v>
      </c>
      <c r="I183" s="22" t="s">
        <v>564</v>
      </c>
      <c r="J183" s="22" t="s">
        <v>568</v>
      </c>
    </row>
    <row r="184" ht="14.25" customHeight="1">
      <c r="A184" s="22" t="s">
        <v>748</v>
      </c>
      <c r="B184" s="22" t="s">
        <v>7</v>
      </c>
      <c r="C184" s="22" t="str">
        <f>+'2024_Transactions'!$D184&amp;'2024_Transactions'!$E184</f>
        <v>De'VondreCampbell</v>
      </c>
      <c r="D184" s="22" t="s">
        <v>584</v>
      </c>
      <c r="E184" s="22" t="s">
        <v>140</v>
      </c>
      <c r="F184" s="22" t="s">
        <v>563</v>
      </c>
      <c r="G184" s="22" t="s">
        <v>32</v>
      </c>
      <c r="H184" s="22" t="s">
        <v>37</v>
      </c>
      <c r="I184" s="22" t="s">
        <v>564</v>
      </c>
      <c r="J184" s="22" t="s">
        <v>565</v>
      </c>
    </row>
    <row r="185" ht="14.25" customHeight="1">
      <c r="A185" s="22" t="s">
        <v>748</v>
      </c>
      <c r="B185" s="22" t="s">
        <v>7</v>
      </c>
      <c r="C185" s="22" t="str">
        <f>+'2024_Transactions'!$D185&amp;'2024_Transactions'!$E185</f>
        <v>RomeoDoubs</v>
      </c>
      <c r="D185" s="22" t="s">
        <v>319</v>
      </c>
      <c r="E185" s="22" t="s">
        <v>320</v>
      </c>
      <c r="F185" s="22" t="s">
        <v>567</v>
      </c>
      <c r="G185" s="22" t="s">
        <v>32</v>
      </c>
      <c r="H185" s="22" t="s">
        <v>45</v>
      </c>
      <c r="I185" s="22" t="s">
        <v>564</v>
      </c>
      <c r="J185" s="22" t="s">
        <v>568</v>
      </c>
    </row>
    <row r="186" ht="14.25" customHeight="1">
      <c r="A186" s="22" t="s">
        <v>749</v>
      </c>
      <c r="B186" s="22" t="s">
        <v>7</v>
      </c>
      <c r="C186" s="22" t="str">
        <f>+'2024_Transactions'!$D186&amp;'2024_Transactions'!$E186</f>
        <v>XavierWoods</v>
      </c>
      <c r="D186" s="22" t="s">
        <v>72</v>
      </c>
      <c r="E186" s="22" t="s">
        <v>315</v>
      </c>
      <c r="F186" s="22" t="s">
        <v>573</v>
      </c>
      <c r="G186" s="22" t="s">
        <v>32</v>
      </c>
      <c r="H186" s="22" t="s">
        <v>218</v>
      </c>
      <c r="I186" s="22" t="s">
        <v>564</v>
      </c>
      <c r="J186" s="22" t="s">
        <v>568</v>
      </c>
    </row>
    <row r="187" ht="14.25" customHeight="1">
      <c r="A187" s="22" t="s">
        <v>750</v>
      </c>
      <c r="B187" s="22" t="s">
        <v>9</v>
      </c>
      <c r="C187" s="22" t="str">
        <f>+'2024_Transactions'!$D187&amp;'2024_Transactions'!$E187</f>
        <v>EddyPineiro</v>
      </c>
      <c r="D187" s="22" t="s">
        <v>751</v>
      </c>
      <c r="E187" s="22" t="s">
        <v>752</v>
      </c>
      <c r="F187" s="22" t="s">
        <v>55</v>
      </c>
      <c r="G187" s="22" t="s">
        <v>32</v>
      </c>
      <c r="H187" s="22" t="s">
        <v>218</v>
      </c>
      <c r="I187" s="22" t="s">
        <v>564</v>
      </c>
      <c r="J187" s="22" t="s">
        <v>568</v>
      </c>
    </row>
    <row r="188" ht="14.25" customHeight="1">
      <c r="A188" s="22" t="s">
        <v>753</v>
      </c>
      <c r="B188" s="22" t="s">
        <v>11</v>
      </c>
      <c r="C188" s="22" t="str">
        <f>+'2024_Transactions'!$D188&amp;'2024_Transactions'!$E188</f>
        <v>QuentinJohnston</v>
      </c>
      <c r="D188" s="22" t="s">
        <v>52</v>
      </c>
      <c r="E188" s="22" t="s">
        <v>53</v>
      </c>
      <c r="F188" s="22" t="s">
        <v>567</v>
      </c>
      <c r="G188" s="22" t="s">
        <v>32</v>
      </c>
      <c r="H188" s="22" t="s">
        <v>54</v>
      </c>
      <c r="I188" s="22" t="s">
        <v>564</v>
      </c>
      <c r="J188" s="22" t="s">
        <v>565</v>
      </c>
    </row>
    <row r="189" ht="14.25" customHeight="1">
      <c r="A189" s="22" t="s">
        <v>754</v>
      </c>
      <c r="B189" s="22" t="s">
        <v>11</v>
      </c>
      <c r="C189" s="22" t="str">
        <f>+'2024_Transactions'!$D189&amp;'2024_Transactions'!$E189</f>
        <v>NateLandman</v>
      </c>
      <c r="D189" s="22" t="s">
        <v>755</v>
      </c>
      <c r="E189" s="22" t="s">
        <v>756</v>
      </c>
      <c r="F189" s="22" t="s">
        <v>563</v>
      </c>
      <c r="G189" s="22" t="s">
        <v>32</v>
      </c>
      <c r="H189" s="22" t="s">
        <v>63</v>
      </c>
      <c r="I189" s="22" t="s">
        <v>564</v>
      </c>
      <c r="J189" s="22" t="s">
        <v>568</v>
      </c>
    </row>
    <row r="190" ht="14.25" customHeight="1">
      <c r="A190" s="22" t="s">
        <v>754</v>
      </c>
      <c r="B190" s="22" t="s">
        <v>6</v>
      </c>
      <c r="C190" s="22" t="str">
        <f>+'2024_Transactions'!$D190&amp;'2024_Transactions'!$E190</f>
        <v>DameonPierce</v>
      </c>
      <c r="D190" s="23" t="s">
        <v>757</v>
      </c>
      <c r="E190" s="22" t="s">
        <v>758</v>
      </c>
      <c r="F190" s="22" t="s">
        <v>39</v>
      </c>
      <c r="G190" s="22" t="s">
        <v>32</v>
      </c>
      <c r="H190" s="22" t="s">
        <v>172</v>
      </c>
      <c r="I190" s="22" t="s">
        <v>564</v>
      </c>
      <c r="J190" s="22" t="s">
        <v>568</v>
      </c>
    </row>
    <row r="191" ht="14.25" customHeight="1">
      <c r="A191" s="22" t="s">
        <v>759</v>
      </c>
      <c r="B191" s="22" t="s">
        <v>8</v>
      </c>
      <c r="C191" s="22" t="str">
        <f>+'2024_Transactions'!$D191&amp;'2024_Transactions'!$E191</f>
        <v>IsaacGuerendo</v>
      </c>
      <c r="D191" s="22" t="s">
        <v>154</v>
      </c>
      <c r="E191" s="22" t="s">
        <v>155</v>
      </c>
      <c r="F191" s="22" t="s">
        <v>39</v>
      </c>
      <c r="G191" s="22" t="s">
        <v>32</v>
      </c>
      <c r="H191" s="22" t="s">
        <v>37</v>
      </c>
      <c r="I191" s="22" t="s">
        <v>564</v>
      </c>
      <c r="J191" s="22" t="s">
        <v>565</v>
      </c>
    </row>
    <row r="192" ht="14.25" customHeight="1">
      <c r="A192" s="22" t="s">
        <v>760</v>
      </c>
      <c r="B192" s="22" t="s">
        <v>8</v>
      </c>
      <c r="C192" s="22" t="str">
        <f>+'2024_Transactions'!$D192&amp;'2024_Transactions'!$E192</f>
        <v>JaquanBrisker</v>
      </c>
      <c r="D192" s="22" t="s">
        <v>761</v>
      </c>
      <c r="E192" s="22" t="s">
        <v>762</v>
      </c>
      <c r="F192" s="22" t="s">
        <v>573</v>
      </c>
      <c r="G192" s="22" t="s">
        <v>32</v>
      </c>
      <c r="H192" s="22" t="s">
        <v>66</v>
      </c>
      <c r="I192" s="22" t="s">
        <v>564</v>
      </c>
      <c r="J192" s="22" t="s">
        <v>565</v>
      </c>
    </row>
    <row r="193" ht="14.25" customHeight="1">
      <c r="A193" s="22" t="s">
        <v>763</v>
      </c>
      <c r="B193" s="22" t="s">
        <v>11</v>
      </c>
      <c r="C193" s="22" t="str">
        <f>+'2024_Transactions'!$D193&amp;'2024_Transactions'!$E193</f>
        <v>JalenPitre</v>
      </c>
      <c r="D193" s="22" t="s">
        <v>122</v>
      </c>
      <c r="E193" s="22" t="s">
        <v>653</v>
      </c>
      <c r="F193" s="22" t="s">
        <v>573</v>
      </c>
      <c r="G193" s="22" t="s">
        <v>32</v>
      </c>
      <c r="H193" s="22" t="s">
        <v>172</v>
      </c>
      <c r="I193" s="22" t="s">
        <v>564</v>
      </c>
      <c r="J193" s="22" t="s">
        <v>565</v>
      </c>
    </row>
    <row r="194" ht="14.25" customHeight="1">
      <c r="A194" s="22" t="s">
        <v>764</v>
      </c>
      <c r="B194" s="22" t="s">
        <v>11</v>
      </c>
      <c r="C194" s="22" t="str">
        <f>+'2024_Transactions'!$D194&amp;'2024_Transactions'!$E194</f>
        <v>TreyHendrickson</v>
      </c>
      <c r="D194" s="23" t="s">
        <v>225</v>
      </c>
      <c r="E194" s="22" t="s">
        <v>394</v>
      </c>
      <c r="F194" s="22" t="s">
        <v>604</v>
      </c>
      <c r="G194" s="22" t="s">
        <v>32</v>
      </c>
      <c r="H194" s="22" t="s">
        <v>119</v>
      </c>
      <c r="I194" s="22" t="s">
        <v>564</v>
      </c>
      <c r="J194" s="22" t="s">
        <v>568</v>
      </c>
    </row>
    <row r="195" ht="14.25" customHeight="1">
      <c r="A195" s="22" t="s">
        <v>764</v>
      </c>
      <c r="B195" s="22" t="s">
        <v>8</v>
      </c>
      <c r="C195" s="22" t="str">
        <f>+'2024_Transactions'!$D195&amp;'2024_Transactions'!$E195</f>
        <v>AlexanderMattison</v>
      </c>
      <c r="D195" s="22" t="s">
        <v>404</v>
      </c>
      <c r="E195" s="22" t="s">
        <v>405</v>
      </c>
      <c r="F195" s="22" t="s">
        <v>39</v>
      </c>
      <c r="G195" s="22" t="s">
        <v>32</v>
      </c>
      <c r="H195" s="22" t="s">
        <v>76</v>
      </c>
      <c r="I195" s="22" t="s">
        <v>564</v>
      </c>
      <c r="J195" s="22" t="s">
        <v>568</v>
      </c>
    </row>
    <row r="196" ht="14.25" customHeight="1">
      <c r="A196" s="22" t="s">
        <v>764</v>
      </c>
      <c r="B196" s="22" t="s">
        <v>11</v>
      </c>
      <c r="C196" s="22" t="str">
        <f>+'2024_Transactions'!$D196&amp;'2024_Transactions'!$E196</f>
        <v>TylerAllgeier</v>
      </c>
      <c r="D196" s="23" t="s">
        <v>280</v>
      </c>
      <c r="E196" s="22" t="s">
        <v>570</v>
      </c>
      <c r="F196" s="22" t="s">
        <v>39</v>
      </c>
      <c r="G196" s="22" t="s">
        <v>32</v>
      </c>
      <c r="H196" s="22" t="s">
        <v>63</v>
      </c>
      <c r="I196" s="22" t="s">
        <v>564</v>
      </c>
      <c r="J196" s="22" t="s">
        <v>568</v>
      </c>
    </row>
    <row r="197" ht="14.25" customHeight="1">
      <c r="A197" s="22" t="s">
        <v>764</v>
      </c>
      <c r="B197" s="22" t="s">
        <v>8</v>
      </c>
      <c r="C197" s="22" t="str">
        <f>+'2024_Transactions'!$D197&amp;'2024_Transactions'!$E197</f>
        <v>IsaacGuerendo</v>
      </c>
      <c r="D197" s="22" t="s">
        <v>154</v>
      </c>
      <c r="E197" s="22" t="s">
        <v>155</v>
      </c>
      <c r="F197" s="22" t="s">
        <v>39</v>
      </c>
      <c r="G197" s="22" t="s">
        <v>32</v>
      </c>
      <c r="H197" s="22" t="s">
        <v>37</v>
      </c>
      <c r="I197" s="22" t="s">
        <v>564</v>
      </c>
      <c r="J197" s="22" t="s">
        <v>568</v>
      </c>
    </row>
    <row r="198" ht="14.25" customHeight="1">
      <c r="A198" s="22" t="s">
        <v>764</v>
      </c>
      <c r="B198" s="22" t="s">
        <v>11</v>
      </c>
      <c r="C198" s="22" t="str">
        <f>+'2024_Transactions'!$D198&amp;'2024_Transactions'!$E198</f>
        <v>RayDavis</v>
      </c>
      <c r="D198" s="22" t="s">
        <v>706</v>
      </c>
      <c r="E198" s="22" t="s">
        <v>530</v>
      </c>
      <c r="F198" s="22" t="s">
        <v>39</v>
      </c>
      <c r="G198" s="22" t="s">
        <v>32</v>
      </c>
      <c r="H198" s="22" t="s">
        <v>93</v>
      </c>
      <c r="I198" s="22" t="s">
        <v>564</v>
      </c>
      <c r="J198" s="22" t="s">
        <v>568</v>
      </c>
    </row>
    <row r="199" ht="14.25" customHeight="1">
      <c r="A199" s="22" t="s">
        <v>764</v>
      </c>
      <c r="B199" s="22" t="s">
        <v>6</v>
      </c>
      <c r="C199" s="22" t="str">
        <f>+'2024_Transactions'!$D199&amp;'2024_Transactions'!$E199</f>
        <v>CameronDicker</v>
      </c>
      <c r="D199" s="23" t="s">
        <v>525</v>
      </c>
      <c r="E199" s="22" t="s">
        <v>526</v>
      </c>
      <c r="F199" s="22" t="s">
        <v>55</v>
      </c>
      <c r="G199" s="22" t="s">
        <v>32</v>
      </c>
      <c r="H199" s="22" t="s">
        <v>54</v>
      </c>
      <c r="I199" s="22" t="s">
        <v>564</v>
      </c>
      <c r="J199" s="22" t="s">
        <v>568</v>
      </c>
    </row>
    <row r="200" ht="14.25" customHeight="1">
      <c r="A200" s="22" t="s">
        <v>764</v>
      </c>
      <c r="B200" s="22" t="s">
        <v>12</v>
      </c>
      <c r="C200" s="22" t="str">
        <f>+'2024_Transactions'!$D200&amp;'2024_Transactions'!$E200</f>
        <v>EdgerrinCooper</v>
      </c>
      <c r="D200" s="23" t="s">
        <v>346</v>
      </c>
      <c r="E200" s="22" t="s">
        <v>92</v>
      </c>
      <c r="F200" s="22" t="s">
        <v>563</v>
      </c>
      <c r="G200" s="22" t="s">
        <v>32</v>
      </c>
      <c r="H200" s="22" t="s">
        <v>45</v>
      </c>
      <c r="I200" s="22" t="s">
        <v>564</v>
      </c>
      <c r="J200" s="22" t="s">
        <v>568</v>
      </c>
    </row>
    <row r="201" ht="14.25" customHeight="1">
      <c r="A201" s="22" t="s">
        <v>764</v>
      </c>
      <c r="B201" s="22" t="s">
        <v>5</v>
      </c>
      <c r="C201" s="22" t="str">
        <f>+'2024_Transactions'!$D201&amp;'2024_Transactions'!$E201</f>
        <v>TrevonMoehrig</v>
      </c>
      <c r="D201" s="23" t="s">
        <v>74</v>
      </c>
      <c r="E201" s="22" t="s">
        <v>75</v>
      </c>
      <c r="F201" s="22" t="s">
        <v>573</v>
      </c>
      <c r="G201" s="22" t="s">
        <v>32</v>
      </c>
      <c r="H201" s="22" t="s">
        <v>76</v>
      </c>
      <c r="I201" s="22" t="s">
        <v>564</v>
      </c>
      <c r="J201" s="22" t="s">
        <v>568</v>
      </c>
    </row>
    <row r="202" ht="14.25" customHeight="1">
      <c r="A202" s="22" t="s">
        <v>764</v>
      </c>
      <c r="B202" s="22" t="s">
        <v>12</v>
      </c>
      <c r="C202" s="22" t="str">
        <f>+'2024_Transactions'!$D202&amp;'2024_Transactions'!$E202</f>
        <v>RussellWilson</v>
      </c>
      <c r="D202" s="23" t="s">
        <v>214</v>
      </c>
      <c r="E202" s="22" t="s">
        <v>215</v>
      </c>
      <c r="F202" s="22" t="s">
        <v>29</v>
      </c>
      <c r="G202" s="22" t="s">
        <v>32</v>
      </c>
      <c r="H202" s="22" t="s">
        <v>170</v>
      </c>
      <c r="I202" s="22" t="s">
        <v>564</v>
      </c>
      <c r="J202" s="22" t="s">
        <v>568</v>
      </c>
    </row>
    <row r="203" ht="14.25" customHeight="1">
      <c r="A203" s="22" t="s">
        <v>764</v>
      </c>
      <c r="B203" s="22" t="s">
        <v>5</v>
      </c>
      <c r="C203" s="22" t="str">
        <f>+'2024_Transactions'!$D203&amp;'2024_Transactions'!$E203</f>
        <v>SpencerRattler</v>
      </c>
      <c r="D203" s="22" t="s">
        <v>765</v>
      </c>
      <c r="E203" s="22" t="s">
        <v>766</v>
      </c>
      <c r="F203" s="22" t="s">
        <v>29</v>
      </c>
      <c r="G203" s="22" t="s">
        <v>32</v>
      </c>
      <c r="H203" s="22" t="s">
        <v>33</v>
      </c>
      <c r="I203" s="22" t="s">
        <v>564</v>
      </c>
      <c r="J203" s="22" t="s">
        <v>568</v>
      </c>
    </row>
    <row r="204" ht="14.25" customHeight="1">
      <c r="A204" s="22" t="s">
        <v>764</v>
      </c>
      <c r="B204" s="22" t="s">
        <v>12</v>
      </c>
      <c r="C204" s="22" t="str">
        <f>+'2024_Transactions'!$D204&amp;'2024_Transactions'!$E204</f>
        <v>KrysBarnes</v>
      </c>
      <c r="D204" s="23" t="s">
        <v>767</v>
      </c>
      <c r="E204" s="22" t="s">
        <v>768</v>
      </c>
      <c r="F204" s="22" t="s">
        <v>563</v>
      </c>
      <c r="G204" s="22" t="s">
        <v>32</v>
      </c>
      <c r="H204" s="22" t="s">
        <v>213</v>
      </c>
      <c r="I204" s="22" t="s">
        <v>564</v>
      </c>
      <c r="J204" s="22" t="s">
        <v>568</v>
      </c>
    </row>
    <row r="205" ht="14.25" customHeight="1">
      <c r="A205" s="22" t="s">
        <v>764</v>
      </c>
      <c r="B205" s="22" t="s">
        <v>10</v>
      </c>
      <c r="C205" s="22" t="str">
        <f>+'2024_Transactions'!$D205&amp;'2024_Transactions'!$E205</f>
        <v>SeanTucker</v>
      </c>
      <c r="D205" s="23" t="s">
        <v>769</v>
      </c>
      <c r="E205" s="22" t="s">
        <v>480</v>
      </c>
      <c r="F205" s="22" t="s">
        <v>39</v>
      </c>
      <c r="G205" s="22" t="s">
        <v>32</v>
      </c>
      <c r="H205" s="22" t="s">
        <v>238</v>
      </c>
      <c r="I205" s="22" t="s">
        <v>564</v>
      </c>
      <c r="J205" s="22" t="s">
        <v>568</v>
      </c>
    </row>
    <row r="206" ht="14.25" customHeight="1">
      <c r="A206" s="22" t="s">
        <v>770</v>
      </c>
      <c r="B206" s="22" t="s">
        <v>5</v>
      </c>
      <c r="C206" s="22" t="str">
        <f>+'2024_Transactions'!$D206&amp;'2024_Transactions'!$E206</f>
        <v>AndreiIosivas</v>
      </c>
      <c r="D206" s="22" t="s">
        <v>771</v>
      </c>
      <c r="E206" s="22" t="s">
        <v>772</v>
      </c>
      <c r="F206" s="22" t="s">
        <v>567</v>
      </c>
      <c r="G206" s="22" t="s">
        <v>32</v>
      </c>
      <c r="H206" s="22" t="s">
        <v>119</v>
      </c>
      <c r="I206" s="22" t="s">
        <v>564</v>
      </c>
      <c r="J206" s="22" t="s">
        <v>565</v>
      </c>
    </row>
    <row r="207" ht="14.25" customHeight="1">
      <c r="A207" s="22" t="s">
        <v>773</v>
      </c>
      <c r="B207" s="22" t="s">
        <v>8</v>
      </c>
      <c r="C207" s="22" t="str">
        <f>+'2024_Transactions'!$D207&amp;'2024_Transactions'!$E207</f>
        <v>KendreMiller</v>
      </c>
      <c r="D207" s="22" t="s">
        <v>406</v>
      </c>
      <c r="E207" s="22" t="s">
        <v>407</v>
      </c>
      <c r="F207" s="22" t="s">
        <v>39</v>
      </c>
      <c r="G207" s="22" t="s">
        <v>32</v>
      </c>
      <c r="H207" s="22" t="s">
        <v>33</v>
      </c>
      <c r="I207" s="22" t="s">
        <v>564</v>
      </c>
      <c r="J207" s="22" t="s">
        <v>565</v>
      </c>
    </row>
    <row r="208" ht="14.25" customHeight="1">
      <c r="A208" s="22" t="s">
        <v>774</v>
      </c>
      <c r="B208" s="22" t="s">
        <v>12</v>
      </c>
      <c r="C208" s="22" t="str">
        <f>+'2024_Transactions'!$D208&amp;'2024_Transactions'!$E208</f>
        <v>JalenTolbert</v>
      </c>
      <c r="D208" s="23" t="s">
        <v>122</v>
      </c>
      <c r="E208" s="22" t="s">
        <v>775</v>
      </c>
      <c r="F208" s="22" t="s">
        <v>567</v>
      </c>
      <c r="G208" s="22" t="s">
        <v>32</v>
      </c>
      <c r="H208" s="22" t="s">
        <v>87</v>
      </c>
      <c r="I208" s="22" t="s">
        <v>564</v>
      </c>
      <c r="J208" s="22" t="s">
        <v>568</v>
      </c>
    </row>
    <row r="209" ht="14.25" customHeight="1">
      <c r="A209" s="22" t="s">
        <v>776</v>
      </c>
      <c r="B209" s="22" t="s">
        <v>9</v>
      </c>
      <c r="C209" s="22" t="str">
        <f>+'2024_Transactions'!$D209&amp;'2024_Transactions'!$E209</f>
        <v>AustinEkeler</v>
      </c>
      <c r="D209" s="22" t="s">
        <v>460</v>
      </c>
      <c r="E209" s="22" t="s">
        <v>461</v>
      </c>
      <c r="F209" s="22" t="s">
        <v>39</v>
      </c>
      <c r="G209" s="22" t="s">
        <v>32</v>
      </c>
      <c r="H209" s="22" t="s">
        <v>98</v>
      </c>
      <c r="I209" s="22" t="s">
        <v>564</v>
      </c>
      <c r="J209" s="22" t="s">
        <v>568</v>
      </c>
    </row>
    <row r="210" ht="14.25" customHeight="1">
      <c r="A210" s="22" t="s">
        <v>777</v>
      </c>
      <c r="B210" s="22" t="s">
        <v>11</v>
      </c>
      <c r="C210" s="22" t="str">
        <f>+'2024_Transactions'!$D210&amp;'2024_Transactions'!$E210</f>
        <v>DariusSlayton</v>
      </c>
      <c r="D210" s="23" t="s">
        <v>175</v>
      </c>
      <c r="E210" s="22" t="s">
        <v>778</v>
      </c>
      <c r="F210" s="22" t="s">
        <v>567</v>
      </c>
      <c r="G210" s="22" t="s">
        <v>32</v>
      </c>
      <c r="H210" s="22" t="s">
        <v>82</v>
      </c>
      <c r="I210" s="22" t="s">
        <v>564</v>
      </c>
      <c r="J210" s="22" t="s">
        <v>568</v>
      </c>
    </row>
    <row r="211" ht="14.25" customHeight="1">
      <c r="A211" s="22" t="s">
        <v>777</v>
      </c>
      <c r="B211" s="22" t="s">
        <v>10</v>
      </c>
      <c r="C211" s="22" t="str">
        <f>+'2024_Transactions'!$D211&amp;'2024_Transactions'!$E211</f>
        <v>BryceHuff</v>
      </c>
      <c r="D211" s="23" t="s">
        <v>377</v>
      </c>
      <c r="E211" s="22" t="s">
        <v>779</v>
      </c>
      <c r="F211" s="22" t="s">
        <v>604</v>
      </c>
      <c r="G211" s="22" t="s">
        <v>32</v>
      </c>
      <c r="H211" s="22" t="s">
        <v>124</v>
      </c>
      <c r="I211" s="22" t="s">
        <v>564</v>
      </c>
      <c r="J211" s="22" t="s">
        <v>568</v>
      </c>
    </row>
    <row r="212" ht="14.25" customHeight="1">
      <c r="A212" s="22" t="s">
        <v>780</v>
      </c>
      <c r="B212" s="22" t="s">
        <v>9</v>
      </c>
      <c r="C212" s="22" t="str">
        <f>+'2024_Transactions'!$D212&amp;'2024_Transactions'!$E212</f>
        <v>TreySermon</v>
      </c>
      <c r="D212" s="22" t="s">
        <v>225</v>
      </c>
      <c r="E212" s="22" t="s">
        <v>781</v>
      </c>
      <c r="F212" s="22" t="s">
        <v>39</v>
      </c>
      <c r="G212" s="22" t="s">
        <v>32</v>
      </c>
      <c r="H212" s="22" t="s">
        <v>105</v>
      </c>
      <c r="I212" s="22" t="s">
        <v>564</v>
      </c>
      <c r="J212" s="22" t="s">
        <v>565</v>
      </c>
    </row>
    <row r="213" ht="14.25" customHeight="1">
      <c r="A213" s="22" t="s">
        <v>782</v>
      </c>
      <c r="B213" s="22" t="s">
        <v>6</v>
      </c>
      <c r="C213" s="22" t="str">
        <f>+'2024_Transactions'!$D213&amp;'2024_Transactions'!$E213</f>
        <v>EmanuelWilson</v>
      </c>
      <c r="D213" s="22" t="s">
        <v>783</v>
      </c>
      <c r="E213" s="22" t="s">
        <v>215</v>
      </c>
      <c r="F213" s="22" t="s">
        <v>39</v>
      </c>
      <c r="G213" s="22" t="s">
        <v>32</v>
      </c>
      <c r="H213" s="22" t="s">
        <v>45</v>
      </c>
      <c r="I213" s="22" t="s">
        <v>564</v>
      </c>
      <c r="J213" s="22" t="s">
        <v>565</v>
      </c>
    </row>
    <row r="214" ht="14.25" customHeight="1">
      <c r="A214" s="22" t="s">
        <v>784</v>
      </c>
      <c r="B214" s="22" t="s">
        <v>7</v>
      </c>
      <c r="C214" s="22" t="str">
        <f>+'2024_Transactions'!$D214&amp;'2024_Transactions'!$E214</f>
        <v>JerryJeudy</v>
      </c>
      <c r="D214" s="22" t="s">
        <v>358</v>
      </c>
      <c r="E214" s="22" t="s">
        <v>359</v>
      </c>
      <c r="F214" s="22" t="s">
        <v>567</v>
      </c>
      <c r="G214" s="22" t="s">
        <v>32</v>
      </c>
      <c r="H214" s="22" t="s">
        <v>42</v>
      </c>
      <c r="I214" s="22" t="s">
        <v>564</v>
      </c>
      <c r="J214" s="22" t="s">
        <v>565</v>
      </c>
    </row>
    <row r="215" ht="14.25" customHeight="1">
      <c r="A215" s="22" t="s">
        <v>785</v>
      </c>
      <c r="B215" s="22" t="s">
        <v>11</v>
      </c>
      <c r="C215" s="22" t="str">
        <f>+'2024_Transactions'!$D215&amp;'2024_Transactions'!$E215</f>
        <v>EvanMcPherson</v>
      </c>
      <c r="D215" s="23" t="s">
        <v>632</v>
      </c>
      <c r="E215" s="22" t="s">
        <v>633</v>
      </c>
      <c r="F215" s="22" t="s">
        <v>55</v>
      </c>
      <c r="G215" s="22" t="s">
        <v>32</v>
      </c>
      <c r="H215" s="22" t="s">
        <v>119</v>
      </c>
      <c r="I215" s="22" t="s">
        <v>564</v>
      </c>
      <c r="J215" s="22" t="s">
        <v>568</v>
      </c>
    </row>
    <row r="216" ht="14.25" customHeight="1">
      <c r="A216" s="22" t="s">
        <v>785</v>
      </c>
      <c r="B216" s="22" t="s">
        <v>11</v>
      </c>
      <c r="C216" s="22" t="str">
        <f>+'2024_Transactions'!$D216&amp;'2024_Transactions'!$E216</f>
        <v>TravonWalker</v>
      </c>
      <c r="D216" s="23" t="s">
        <v>417</v>
      </c>
      <c r="E216" s="22" t="s">
        <v>153</v>
      </c>
      <c r="F216" s="22" t="s">
        <v>563</v>
      </c>
      <c r="G216" s="22" t="s">
        <v>32</v>
      </c>
      <c r="H216" s="22" t="s">
        <v>148</v>
      </c>
      <c r="I216" s="22" t="s">
        <v>564</v>
      </c>
      <c r="J216" s="22" t="s">
        <v>568</v>
      </c>
    </row>
    <row r="217" ht="14.25" customHeight="1">
      <c r="A217" s="22" t="s">
        <v>785</v>
      </c>
      <c r="B217" s="22" t="s">
        <v>6</v>
      </c>
      <c r="C217" s="22" t="str">
        <f>+'2024_Transactions'!$D217&amp;'2024_Transactions'!$E217</f>
        <v>JoeFlacco</v>
      </c>
      <c r="D217" s="22" t="s">
        <v>219</v>
      </c>
      <c r="E217" s="22" t="s">
        <v>723</v>
      </c>
      <c r="F217" s="22" t="s">
        <v>29</v>
      </c>
      <c r="G217" s="22" t="s">
        <v>32</v>
      </c>
      <c r="H217" s="22" t="s">
        <v>105</v>
      </c>
      <c r="I217" s="22" t="s">
        <v>564</v>
      </c>
      <c r="J217" s="22" t="s">
        <v>568</v>
      </c>
    </row>
    <row r="218" ht="14.25" customHeight="1">
      <c r="A218" s="22" t="s">
        <v>785</v>
      </c>
      <c r="B218" s="22" t="s">
        <v>10</v>
      </c>
      <c r="C218" s="22" t="str">
        <f>+'2024_Transactions'!$D218&amp;'2024_Transactions'!$E218</f>
        <v>JoshDowns</v>
      </c>
      <c r="D218" s="22" t="s">
        <v>43</v>
      </c>
      <c r="E218" s="22" t="s">
        <v>725</v>
      </c>
      <c r="F218" s="22" t="s">
        <v>567</v>
      </c>
      <c r="G218" s="22" t="s">
        <v>32</v>
      </c>
      <c r="H218" s="22" t="s">
        <v>105</v>
      </c>
      <c r="I218" s="22" t="s">
        <v>564</v>
      </c>
      <c r="J218" s="22" t="s">
        <v>568</v>
      </c>
    </row>
    <row r="219" ht="14.25" customHeight="1">
      <c r="A219" s="22" t="s">
        <v>785</v>
      </c>
      <c r="B219" s="22" t="s">
        <v>5</v>
      </c>
      <c r="C219" s="22" t="str">
        <f>+'2024_Transactions'!$D219&amp;'2024_Transactions'!$E219</f>
        <v>KevinByard</v>
      </c>
      <c r="D219" s="22" t="s">
        <v>64</v>
      </c>
      <c r="E219" s="22" t="s">
        <v>65</v>
      </c>
      <c r="F219" s="22" t="s">
        <v>573</v>
      </c>
      <c r="G219" s="22" t="s">
        <v>32</v>
      </c>
      <c r="H219" s="22" t="s">
        <v>66</v>
      </c>
      <c r="I219" s="22" t="s">
        <v>564</v>
      </c>
      <c r="J219" s="22" t="s">
        <v>568</v>
      </c>
    </row>
    <row r="220" ht="14.25" customHeight="1">
      <c r="A220" s="22" t="s">
        <v>785</v>
      </c>
      <c r="B220" s="22" t="s">
        <v>10</v>
      </c>
      <c r="C220" s="22" t="str">
        <f>+'2024_Transactions'!$D220&amp;'2024_Transactions'!$E220</f>
        <v>DevinBush</v>
      </c>
      <c r="D220" s="23" t="s">
        <v>173</v>
      </c>
      <c r="E220" s="22" t="s">
        <v>711</v>
      </c>
      <c r="F220" s="22" t="s">
        <v>563</v>
      </c>
      <c r="G220" s="22" t="s">
        <v>32</v>
      </c>
      <c r="H220" s="22" t="s">
        <v>42</v>
      </c>
      <c r="I220" s="22" t="s">
        <v>564</v>
      </c>
      <c r="J220" s="22" t="s">
        <v>568</v>
      </c>
    </row>
    <row r="221" ht="14.25" customHeight="1">
      <c r="A221" s="22" t="s">
        <v>785</v>
      </c>
      <c r="B221" s="22" t="s">
        <v>13</v>
      </c>
      <c r="C221" s="22" t="str">
        <f>+'2024_Transactions'!$D221&amp;'2024_Transactions'!$E221</f>
        <v>JustinStrnad</v>
      </c>
      <c r="D221" s="23" t="s">
        <v>194</v>
      </c>
      <c r="E221" s="22" t="s">
        <v>692</v>
      </c>
      <c r="F221" s="22" t="s">
        <v>563</v>
      </c>
      <c r="G221" s="22" t="s">
        <v>32</v>
      </c>
      <c r="H221" s="22" t="s">
        <v>103</v>
      </c>
      <c r="I221" s="22" t="s">
        <v>564</v>
      </c>
      <c r="J221" s="22" t="s">
        <v>568</v>
      </c>
    </row>
    <row r="222" ht="14.25" customHeight="1">
      <c r="A222" s="22" t="s">
        <v>785</v>
      </c>
      <c r="B222" s="22" t="s">
        <v>7</v>
      </c>
      <c r="C222" s="22" t="str">
        <f>+'2024_Transactions'!$D222&amp;'2024_Transactions'!$E222</f>
        <v>Wan'DaleRobinson</v>
      </c>
      <c r="D222" s="22" t="s">
        <v>325</v>
      </c>
      <c r="E222" s="22" t="s">
        <v>159</v>
      </c>
      <c r="F222" s="22" t="s">
        <v>567</v>
      </c>
      <c r="G222" s="22" t="s">
        <v>32</v>
      </c>
      <c r="H222" s="22" t="s">
        <v>82</v>
      </c>
      <c r="I222" s="22" t="s">
        <v>564</v>
      </c>
      <c r="J222" s="22" t="s">
        <v>568</v>
      </c>
    </row>
    <row r="223" ht="14.25" customHeight="1">
      <c r="A223" s="22" t="s">
        <v>785</v>
      </c>
      <c r="B223" s="22" t="s">
        <v>13</v>
      </c>
      <c r="C223" s="22" t="str">
        <f>+'2024_Transactions'!$D223&amp;'2024_Transactions'!$E223</f>
        <v>TankBigsby</v>
      </c>
      <c r="D223" s="23" t="s">
        <v>446</v>
      </c>
      <c r="E223" s="22" t="s">
        <v>537</v>
      </c>
      <c r="F223" s="22" t="s">
        <v>39</v>
      </c>
      <c r="G223" s="22" t="s">
        <v>32</v>
      </c>
      <c r="H223" s="22" t="s">
        <v>148</v>
      </c>
      <c r="I223" s="22" t="s">
        <v>564</v>
      </c>
      <c r="J223" s="22" t="s">
        <v>568</v>
      </c>
    </row>
    <row r="224" ht="14.25" customHeight="1">
      <c r="A224" s="22" t="s">
        <v>785</v>
      </c>
      <c r="B224" s="22" t="s">
        <v>4</v>
      </c>
      <c r="C224" s="22" t="str">
        <f>+'2024_Transactions'!$D224&amp;'2024_Transactions'!$E224</f>
        <v>JakeElliott</v>
      </c>
      <c r="D224" s="23" t="s">
        <v>258</v>
      </c>
      <c r="E224" s="22" t="s">
        <v>169</v>
      </c>
      <c r="F224" s="22" t="s">
        <v>55</v>
      </c>
      <c r="G224" s="22" t="s">
        <v>32</v>
      </c>
      <c r="H224" s="22" t="s">
        <v>124</v>
      </c>
      <c r="I224" s="22" t="s">
        <v>564</v>
      </c>
      <c r="J224" s="22" t="s">
        <v>568</v>
      </c>
    </row>
    <row r="225" ht="14.25" customHeight="1">
      <c r="A225" s="22" t="s">
        <v>785</v>
      </c>
      <c r="B225" s="22" t="s">
        <v>13</v>
      </c>
      <c r="C225" s="22" t="str">
        <f>+'2024_Transactions'!$D225&amp;'2024_Transactions'!$E225</f>
        <v>DarnellMooney</v>
      </c>
      <c r="D225" s="23" t="s">
        <v>360</v>
      </c>
      <c r="E225" s="22" t="s">
        <v>361</v>
      </c>
      <c r="F225" s="22" t="s">
        <v>567</v>
      </c>
      <c r="G225" s="22" t="s">
        <v>32</v>
      </c>
      <c r="H225" s="22" t="s">
        <v>63</v>
      </c>
      <c r="I225" s="22" t="s">
        <v>564</v>
      </c>
      <c r="J225" s="22" t="s">
        <v>568</v>
      </c>
    </row>
    <row r="226" ht="14.25" customHeight="1">
      <c r="A226" s="22" t="s">
        <v>785</v>
      </c>
      <c r="B226" s="22" t="s">
        <v>5</v>
      </c>
      <c r="C226" s="22" t="str">
        <f>+'2024_Transactions'!$D226&amp;'2024_Transactions'!$E226</f>
        <v>KareemHunt</v>
      </c>
      <c r="D226" s="23" t="s">
        <v>88</v>
      </c>
      <c r="E226" s="22" t="s">
        <v>89</v>
      </c>
      <c r="F226" s="22" t="s">
        <v>39</v>
      </c>
      <c r="G226" s="22" t="s">
        <v>32</v>
      </c>
      <c r="H226" s="22" t="s">
        <v>90</v>
      </c>
      <c r="I226" s="22" t="s">
        <v>564</v>
      </c>
      <c r="J226" s="22" t="s">
        <v>568</v>
      </c>
    </row>
    <row r="227" ht="14.25" customHeight="1">
      <c r="A227" s="22" t="s">
        <v>786</v>
      </c>
      <c r="B227" s="22" t="s">
        <v>12</v>
      </c>
      <c r="C227" s="22" t="str">
        <f>+'2024_Transactions'!$D227&amp;'2024_Transactions'!$E227</f>
        <v>DivineDeablo</v>
      </c>
      <c r="D227" s="23" t="s">
        <v>787</v>
      </c>
      <c r="E227" s="22" t="s">
        <v>788</v>
      </c>
      <c r="F227" s="22" t="s">
        <v>563</v>
      </c>
      <c r="G227" s="22" t="s">
        <v>32</v>
      </c>
      <c r="H227" s="22" t="s">
        <v>76</v>
      </c>
      <c r="I227" s="22" t="s">
        <v>564</v>
      </c>
      <c r="J227" s="22" t="s">
        <v>568</v>
      </c>
    </row>
    <row r="228" ht="14.25" customHeight="1">
      <c r="A228" s="22" t="s">
        <v>789</v>
      </c>
      <c r="B228" s="22" t="s">
        <v>9</v>
      </c>
      <c r="C228" s="22" t="str">
        <f>+'2024_Transactions'!$D228&amp;'2024_Transactions'!$E228</f>
        <v>TreySermon</v>
      </c>
      <c r="D228" s="22" t="s">
        <v>225</v>
      </c>
      <c r="E228" s="22" t="s">
        <v>781</v>
      </c>
      <c r="F228" s="22" t="s">
        <v>39</v>
      </c>
      <c r="G228" s="22" t="s">
        <v>32</v>
      </c>
      <c r="H228" s="22" t="s">
        <v>105</v>
      </c>
      <c r="I228" s="22" t="s">
        <v>564</v>
      </c>
      <c r="J228" s="22" t="s">
        <v>568</v>
      </c>
    </row>
    <row r="229" ht="14.25" customHeight="1">
      <c r="A229" s="22" t="s">
        <v>790</v>
      </c>
      <c r="B229" s="22" t="s">
        <v>7</v>
      </c>
      <c r="C229" s="22" t="str">
        <f>+'2024_Transactions'!$D229&amp;'2024_Transactions'!$E229</f>
        <v>MichaelWilson</v>
      </c>
      <c r="D229" s="22" t="s">
        <v>323</v>
      </c>
      <c r="E229" s="22" t="s">
        <v>215</v>
      </c>
      <c r="F229" s="22" t="s">
        <v>567</v>
      </c>
      <c r="G229" s="22" t="s">
        <v>32</v>
      </c>
      <c r="H229" s="22" t="s">
        <v>213</v>
      </c>
      <c r="I229" s="22" t="s">
        <v>564</v>
      </c>
      <c r="J229" s="22" t="s">
        <v>565</v>
      </c>
    </row>
    <row r="230" ht="14.25" customHeight="1">
      <c r="A230" s="22" t="s">
        <v>790</v>
      </c>
      <c r="B230" s="22" t="s">
        <v>7</v>
      </c>
      <c r="C230" s="22" t="str">
        <f>+'2024_Transactions'!$D230&amp;'2024_Transactions'!$E230</f>
        <v>KyleVan Noy</v>
      </c>
      <c r="D230" s="22" t="s">
        <v>202</v>
      </c>
      <c r="E230" s="22" t="s">
        <v>791</v>
      </c>
      <c r="F230" s="22" t="s">
        <v>563</v>
      </c>
      <c r="G230" s="22" t="s">
        <v>32</v>
      </c>
      <c r="H230" s="22" t="s">
        <v>179</v>
      </c>
      <c r="I230" s="22" t="s">
        <v>564</v>
      </c>
      <c r="J230" s="22" t="s">
        <v>568</v>
      </c>
    </row>
    <row r="231" ht="14.25" customHeight="1">
      <c r="A231" s="22" t="s">
        <v>792</v>
      </c>
      <c r="B231" s="22" t="s">
        <v>11</v>
      </c>
      <c r="C231" s="22" t="str">
        <f>+'2024_Transactions'!$D231&amp;'2024_Transactions'!$E231</f>
        <v>TonyAdams</v>
      </c>
      <c r="D231" s="23" t="s">
        <v>274</v>
      </c>
      <c r="E231" s="22" t="s">
        <v>48</v>
      </c>
      <c r="F231" s="22" t="s">
        <v>573</v>
      </c>
      <c r="G231" s="22" t="s">
        <v>32</v>
      </c>
      <c r="H231" s="22" t="s">
        <v>49</v>
      </c>
      <c r="I231" s="22" t="s">
        <v>564</v>
      </c>
      <c r="J231" s="22" t="s">
        <v>568</v>
      </c>
    </row>
    <row r="232" ht="14.25" customHeight="1">
      <c r="A232" s="22" t="s">
        <v>792</v>
      </c>
      <c r="B232" s="22" t="s">
        <v>13</v>
      </c>
      <c r="C232" s="22" t="str">
        <f>+'2024_Transactions'!$D232&amp;'2024_Transactions'!$E232</f>
        <v>AntonioGibson</v>
      </c>
      <c r="D232" s="23" t="s">
        <v>793</v>
      </c>
      <c r="E232" s="22" t="s">
        <v>794</v>
      </c>
      <c r="F232" s="22" t="s">
        <v>39</v>
      </c>
      <c r="G232" s="22" t="s">
        <v>32</v>
      </c>
      <c r="H232" s="22" t="s">
        <v>444</v>
      </c>
      <c r="I232" s="22" t="s">
        <v>564</v>
      </c>
      <c r="J232" s="22" t="s">
        <v>568</v>
      </c>
    </row>
    <row r="233" ht="14.25" customHeight="1">
      <c r="A233" s="22" t="s">
        <v>795</v>
      </c>
      <c r="B233" s="22" t="s">
        <v>8</v>
      </c>
      <c r="C233" s="22" t="str">
        <f>+'2024_Transactions'!$D233&amp;'2024_Transactions'!$E233</f>
        <v>AlontaeTaylor</v>
      </c>
      <c r="D233" s="22" t="s">
        <v>416</v>
      </c>
      <c r="E233" s="22" t="s">
        <v>161</v>
      </c>
      <c r="F233" s="22" t="s">
        <v>573</v>
      </c>
      <c r="G233" s="22" t="s">
        <v>32</v>
      </c>
      <c r="H233" s="22" t="s">
        <v>33</v>
      </c>
      <c r="I233" s="22" t="s">
        <v>564</v>
      </c>
      <c r="J233" s="22" t="s">
        <v>565</v>
      </c>
    </row>
    <row r="234" ht="14.25" customHeight="1">
      <c r="A234" s="22" t="s">
        <v>796</v>
      </c>
      <c r="B234" s="22" t="s">
        <v>11</v>
      </c>
      <c r="C234" s="22" t="str">
        <f>+'2024_Transactions'!$D234&amp;'2024_Transactions'!$E234</f>
        <v>DontayvionWicks</v>
      </c>
      <c r="D234" s="23" t="s">
        <v>797</v>
      </c>
      <c r="E234" s="22" t="s">
        <v>798</v>
      </c>
      <c r="F234" s="22" t="s">
        <v>567</v>
      </c>
      <c r="G234" s="22" t="s">
        <v>32</v>
      </c>
      <c r="H234" s="22" t="s">
        <v>45</v>
      </c>
      <c r="I234" s="22" t="s">
        <v>564</v>
      </c>
      <c r="J234" s="22" t="s">
        <v>568</v>
      </c>
    </row>
    <row r="235" ht="14.25" customHeight="1">
      <c r="A235" s="22" t="s">
        <v>796</v>
      </c>
      <c r="B235" s="22" t="s">
        <v>5</v>
      </c>
      <c r="C235" s="22" t="str">
        <f>+'2024_Transactions'!$D235&amp;'2024_Transactions'!$E235</f>
        <v>AustinSeibert</v>
      </c>
      <c r="D235" s="23" t="s">
        <v>460</v>
      </c>
      <c r="E235" s="22" t="s">
        <v>667</v>
      </c>
      <c r="F235" s="22" t="s">
        <v>55</v>
      </c>
      <c r="G235" s="22" t="s">
        <v>32</v>
      </c>
      <c r="H235" s="22" t="s">
        <v>98</v>
      </c>
      <c r="I235" s="22" t="s">
        <v>564</v>
      </c>
      <c r="J235" s="22" t="s">
        <v>568</v>
      </c>
    </row>
    <row r="236" ht="14.25" customHeight="1">
      <c r="A236" s="22" t="s">
        <v>796</v>
      </c>
      <c r="B236" s="22" t="s">
        <v>8</v>
      </c>
      <c r="C236" s="22" t="str">
        <f>+'2024_Transactions'!$D236&amp;'2024_Transactions'!$E236</f>
        <v>JaquanBrisker</v>
      </c>
      <c r="D236" s="22" t="s">
        <v>761</v>
      </c>
      <c r="E236" s="22" t="s">
        <v>762</v>
      </c>
      <c r="F236" s="22" t="s">
        <v>573</v>
      </c>
      <c r="G236" s="22" t="s">
        <v>32</v>
      </c>
      <c r="H236" s="22" t="s">
        <v>66</v>
      </c>
      <c r="I236" s="22" t="s">
        <v>564</v>
      </c>
      <c r="J236" s="22" t="s">
        <v>568</v>
      </c>
    </row>
    <row r="237" ht="14.25" customHeight="1">
      <c r="A237" s="22" t="s">
        <v>796</v>
      </c>
      <c r="B237" s="22" t="s">
        <v>8</v>
      </c>
      <c r="C237" s="22" t="str">
        <f>+'2024_Transactions'!$D237&amp;'2024_Transactions'!$E237</f>
        <v>DeShonElliott</v>
      </c>
      <c r="D237" s="22" t="s">
        <v>168</v>
      </c>
      <c r="E237" s="22" t="s">
        <v>169</v>
      </c>
      <c r="F237" s="22" t="s">
        <v>573</v>
      </c>
      <c r="G237" s="22" t="s">
        <v>32</v>
      </c>
      <c r="H237" s="22" t="s">
        <v>170</v>
      </c>
      <c r="I237" s="22" t="s">
        <v>564</v>
      </c>
      <c r="J237" s="22" t="s">
        <v>568</v>
      </c>
    </row>
    <row r="238" ht="14.25" customHeight="1">
      <c r="A238" s="22" t="s">
        <v>796</v>
      </c>
      <c r="B238" s="22" t="s">
        <v>12</v>
      </c>
      <c r="C238" s="22" t="str">
        <f>+'2024_Transactions'!$D238&amp;'2024_Transactions'!$E238</f>
        <v>K.J.Britt</v>
      </c>
      <c r="D238" s="22" t="s">
        <v>731</v>
      </c>
      <c r="E238" s="22" t="s">
        <v>732</v>
      </c>
      <c r="F238" s="22" t="s">
        <v>563</v>
      </c>
      <c r="G238" s="22" t="s">
        <v>32</v>
      </c>
      <c r="H238" s="22" t="s">
        <v>238</v>
      </c>
      <c r="I238" s="22" t="s">
        <v>564</v>
      </c>
      <c r="J238" s="22" t="s">
        <v>568</v>
      </c>
    </row>
    <row r="239" ht="14.25" customHeight="1">
      <c r="A239" s="22" t="s">
        <v>796</v>
      </c>
      <c r="B239" s="22" t="s">
        <v>12</v>
      </c>
      <c r="C239" s="22" t="str">
        <f>+'2024_Transactions'!$D239&amp;'2024_Transactions'!$E239</f>
        <v>TrevinWallace</v>
      </c>
      <c r="D239" s="22" t="s">
        <v>799</v>
      </c>
      <c r="E239" s="22" t="s">
        <v>800</v>
      </c>
      <c r="F239" s="22" t="s">
        <v>563</v>
      </c>
      <c r="G239" s="22" t="s">
        <v>32</v>
      </c>
      <c r="H239" s="22" t="s">
        <v>218</v>
      </c>
      <c r="I239" s="22" t="s">
        <v>564</v>
      </c>
      <c r="J239" s="22" t="s">
        <v>568</v>
      </c>
    </row>
    <row r="240" ht="14.25" customHeight="1">
      <c r="A240" s="22" t="s">
        <v>796</v>
      </c>
      <c r="B240" s="22" t="s">
        <v>7</v>
      </c>
      <c r="C240" s="22" t="str">
        <f>+'2024_Transactions'!$D240&amp;'2024_Transactions'!$E240</f>
        <v>AndyDalton</v>
      </c>
      <c r="D240" s="23" t="s">
        <v>662</v>
      </c>
      <c r="E240" s="22" t="s">
        <v>162</v>
      </c>
      <c r="F240" s="22" t="s">
        <v>29</v>
      </c>
      <c r="G240" s="22" t="s">
        <v>32</v>
      </c>
      <c r="H240" s="22" t="s">
        <v>218</v>
      </c>
      <c r="I240" s="22" t="s">
        <v>564</v>
      </c>
      <c r="J240" s="22" t="s">
        <v>568</v>
      </c>
    </row>
    <row r="241" ht="14.25" customHeight="1">
      <c r="A241" s="22" t="s">
        <v>796</v>
      </c>
      <c r="B241" s="22" t="s">
        <v>7</v>
      </c>
      <c r="C241" s="22" t="str">
        <f>+'2024_Transactions'!$D241&amp;'2024_Transactions'!$E241</f>
        <v>PaulsonAdebo</v>
      </c>
      <c r="D241" s="23" t="s">
        <v>330</v>
      </c>
      <c r="E241" s="22" t="s">
        <v>331</v>
      </c>
      <c r="F241" s="22" t="s">
        <v>573</v>
      </c>
      <c r="G241" s="22" t="s">
        <v>32</v>
      </c>
      <c r="H241" s="22" t="s">
        <v>33</v>
      </c>
      <c r="I241" s="22" t="s">
        <v>564</v>
      </c>
      <c r="J241" s="22" t="s">
        <v>568</v>
      </c>
    </row>
    <row r="242" ht="14.25" customHeight="1">
      <c r="A242" s="22" t="s">
        <v>796</v>
      </c>
      <c r="B242" s="22" t="s">
        <v>12</v>
      </c>
      <c r="C242" s="22" t="str">
        <f>+'2024_Transactions'!$D242&amp;'2024_Transactions'!$E242</f>
        <v>D'AndreSwift</v>
      </c>
      <c r="D242" s="23" t="s">
        <v>221</v>
      </c>
      <c r="E242" s="22" t="s">
        <v>222</v>
      </c>
      <c r="F242" s="22" t="s">
        <v>39</v>
      </c>
      <c r="G242" s="22" t="s">
        <v>32</v>
      </c>
      <c r="H242" s="22" t="s">
        <v>66</v>
      </c>
      <c r="I242" s="22" t="s">
        <v>564</v>
      </c>
      <c r="J242" s="22" t="s">
        <v>568</v>
      </c>
    </row>
    <row r="243" ht="14.25" customHeight="1">
      <c r="A243" s="22" t="s">
        <v>801</v>
      </c>
      <c r="B243" s="22" t="s">
        <v>12</v>
      </c>
      <c r="C243" s="22" t="str">
        <f>+'2024_Transactions'!$D243&amp;'2024_Transactions'!$E243</f>
        <v>CarsonSteele</v>
      </c>
      <c r="D243" s="22" t="s">
        <v>802</v>
      </c>
      <c r="E243" s="22" t="s">
        <v>803</v>
      </c>
      <c r="F243" s="22" t="s">
        <v>39</v>
      </c>
      <c r="G243" s="22" t="s">
        <v>32</v>
      </c>
      <c r="H243" s="22" t="s">
        <v>90</v>
      </c>
      <c r="I243" s="22" t="s">
        <v>564</v>
      </c>
      <c r="J243" s="22" t="s">
        <v>565</v>
      </c>
    </row>
    <row r="244" ht="14.25" customHeight="1">
      <c r="A244" s="22" t="s">
        <v>804</v>
      </c>
      <c r="B244" s="22" t="s">
        <v>7</v>
      </c>
      <c r="C244" s="22" t="str">
        <f>+'2024_Transactions'!$D244&amp;'2024_Transactions'!$E244</f>
        <v>MichaelWilson</v>
      </c>
      <c r="D244" s="23" t="s">
        <v>323</v>
      </c>
      <c r="E244" s="22" t="s">
        <v>215</v>
      </c>
      <c r="F244" s="22" t="s">
        <v>567</v>
      </c>
      <c r="G244" s="22" t="s">
        <v>32</v>
      </c>
      <c r="H244" s="22" t="s">
        <v>213</v>
      </c>
      <c r="I244" s="22" t="s">
        <v>564</v>
      </c>
      <c r="J244" s="22" t="s">
        <v>568</v>
      </c>
    </row>
    <row r="245" ht="14.25" customHeight="1">
      <c r="A245" s="22" t="s">
        <v>805</v>
      </c>
      <c r="B245" s="22" t="s">
        <v>4</v>
      </c>
      <c r="C245" s="22" t="str">
        <f>+'2024_Transactions'!$D245&amp;'2024_Transactions'!$E245</f>
        <v>KhalilHerbert</v>
      </c>
      <c r="D245" s="22" t="s">
        <v>164</v>
      </c>
      <c r="E245" s="22" t="s">
        <v>468</v>
      </c>
      <c r="F245" s="22" t="s">
        <v>39</v>
      </c>
      <c r="G245" s="22" t="s">
        <v>32</v>
      </c>
      <c r="H245" s="22" t="s">
        <v>119</v>
      </c>
      <c r="I245" s="22" t="s">
        <v>564</v>
      </c>
      <c r="J245" s="22" t="s">
        <v>565</v>
      </c>
    </row>
    <row r="246" ht="14.25" customHeight="1">
      <c r="A246" s="22" t="s">
        <v>806</v>
      </c>
      <c r="B246" s="22" t="s">
        <v>6</v>
      </c>
      <c r="C246" s="22" t="str">
        <f>+'2024_Transactions'!$D246&amp;'2024_Transactions'!$E246</f>
        <v>DenzelPerryman</v>
      </c>
      <c r="D246" s="23" t="s">
        <v>546</v>
      </c>
      <c r="E246" s="22" t="s">
        <v>547</v>
      </c>
      <c r="F246" s="22" t="s">
        <v>563</v>
      </c>
      <c r="G246" s="22" t="s">
        <v>32</v>
      </c>
      <c r="H246" s="22" t="s">
        <v>54</v>
      </c>
      <c r="I246" s="22" t="s">
        <v>564</v>
      </c>
      <c r="J246" s="22" t="s">
        <v>568</v>
      </c>
    </row>
    <row r="247" ht="14.25" customHeight="1">
      <c r="A247" s="22" t="s">
        <v>806</v>
      </c>
      <c r="B247" s="22" t="s">
        <v>11</v>
      </c>
      <c r="C247" s="22" t="str">
        <f>+'2024_Transactions'!$D247&amp;'2024_Transactions'!$E247</f>
        <v>JakobiMeyers</v>
      </c>
      <c r="D247" s="23" t="s">
        <v>386</v>
      </c>
      <c r="E247" s="22" t="s">
        <v>387</v>
      </c>
      <c r="F247" s="22" t="s">
        <v>567</v>
      </c>
      <c r="G247" s="22" t="s">
        <v>32</v>
      </c>
      <c r="H247" s="22" t="s">
        <v>76</v>
      </c>
      <c r="I247" s="22" t="s">
        <v>564</v>
      </c>
      <c r="J247" s="22" t="s">
        <v>568</v>
      </c>
    </row>
    <row r="248" ht="14.25" customHeight="1">
      <c r="A248" s="22" t="s">
        <v>806</v>
      </c>
      <c r="B248" s="22" t="s">
        <v>12</v>
      </c>
      <c r="C248" s="22" t="str">
        <f>+'2024_Transactions'!$D248&amp;'2024_Transactions'!$E248</f>
        <v>RoschonJohnson</v>
      </c>
      <c r="D248" s="23" t="s">
        <v>807</v>
      </c>
      <c r="E248" s="22" t="s">
        <v>266</v>
      </c>
      <c r="F248" s="22" t="s">
        <v>39</v>
      </c>
      <c r="G248" s="22" t="s">
        <v>32</v>
      </c>
      <c r="H248" s="22" t="s">
        <v>66</v>
      </c>
      <c r="I248" s="22" t="s">
        <v>564</v>
      </c>
      <c r="J248" s="22" t="s">
        <v>568</v>
      </c>
    </row>
    <row r="249" ht="14.25" customHeight="1">
      <c r="A249" s="22" t="s">
        <v>806</v>
      </c>
      <c r="B249" s="22" t="s">
        <v>4</v>
      </c>
      <c r="C249" s="22" t="str">
        <f>+'2024_Transactions'!$D249&amp;'2024_Transactions'!$E249</f>
        <v>DallasGoedert</v>
      </c>
      <c r="D249" s="22" t="s">
        <v>276</v>
      </c>
      <c r="E249" s="22" t="s">
        <v>277</v>
      </c>
      <c r="F249" s="22" t="s">
        <v>650</v>
      </c>
      <c r="G249" s="22" t="s">
        <v>32</v>
      </c>
      <c r="H249" s="22" t="s">
        <v>124</v>
      </c>
      <c r="I249" s="22" t="s">
        <v>564</v>
      </c>
      <c r="J249" s="22" t="s">
        <v>568</v>
      </c>
    </row>
    <row r="250" ht="14.25" customHeight="1">
      <c r="A250" s="22" t="s">
        <v>808</v>
      </c>
      <c r="B250" s="22" t="s">
        <v>5</v>
      </c>
      <c r="C250" s="22" t="str">
        <f>+'2024_Transactions'!$D250&amp;'2024_Transactions'!$E250</f>
        <v>RomeoDoubs</v>
      </c>
      <c r="D250" s="22" t="s">
        <v>319</v>
      </c>
      <c r="E250" s="22" t="s">
        <v>320</v>
      </c>
      <c r="F250" s="22" t="s">
        <v>567</v>
      </c>
      <c r="G250" s="22" t="s">
        <v>32</v>
      </c>
      <c r="H250" s="22" t="s">
        <v>45</v>
      </c>
      <c r="I250" s="22" t="s">
        <v>564</v>
      </c>
      <c r="J250" s="22" t="s">
        <v>565</v>
      </c>
    </row>
    <row r="251" ht="14.25" customHeight="1">
      <c r="A251" s="22" t="s">
        <v>809</v>
      </c>
      <c r="B251" s="22" t="s">
        <v>10</v>
      </c>
      <c r="C251" s="22" t="str">
        <f>+'2024_Transactions'!$D251&amp;'2024_Transactions'!$E251</f>
        <v>JuniorColson</v>
      </c>
      <c r="D251" s="22" t="s">
        <v>810</v>
      </c>
      <c r="E251" s="22" t="s">
        <v>811</v>
      </c>
      <c r="F251" s="22" t="s">
        <v>563</v>
      </c>
      <c r="G251" s="22" t="s">
        <v>32</v>
      </c>
      <c r="H251" s="22" t="s">
        <v>54</v>
      </c>
      <c r="I251" s="22" t="s">
        <v>564</v>
      </c>
      <c r="J251" s="22" t="s">
        <v>565</v>
      </c>
    </row>
    <row r="252" ht="14.25" customHeight="1">
      <c r="A252" s="22" t="s">
        <v>812</v>
      </c>
      <c r="B252" s="22" t="s">
        <v>10</v>
      </c>
      <c r="C252" s="22" t="str">
        <f>+'2024_Transactions'!$D252&amp;'2024_Transactions'!$E252</f>
        <v>SirVoceaDennis</v>
      </c>
      <c r="D252" s="22" t="s">
        <v>813</v>
      </c>
      <c r="E252" s="22" t="s">
        <v>814</v>
      </c>
      <c r="F252" s="22" t="s">
        <v>563</v>
      </c>
      <c r="G252" s="22" t="s">
        <v>32</v>
      </c>
      <c r="H252" s="22" t="s">
        <v>238</v>
      </c>
      <c r="I252" s="22" t="s">
        <v>564</v>
      </c>
      <c r="J252" s="22" t="s">
        <v>565</v>
      </c>
    </row>
    <row r="253" ht="14.25" customHeight="1">
      <c r="A253" s="22" t="s">
        <v>815</v>
      </c>
      <c r="B253" s="22" t="s">
        <v>6</v>
      </c>
      <c r="C253" s="22" t="str">
        <f>+'2024_Transactions'!$D253&amp;'2024_Transactions'!$E253</f>
        <v>JaquanBrisker</v>
      </c>
      <c r="D253" s="22" t="s">
        <v>761</v>
      </c>
      <c r="E253" s="22" t="s">
        <v>762</v>
      </c>
      <c r="F253" s="22" t="s">
        <v>573</v>
      </c>
      <c r="G253" s="22" t="s">
        <v>32</v>
      </c>
      <c r="H253" s="22" t="s">
        <v>66</v>
      </c>
      <c r="I253" s="22" t="s">
        <v>564</v>
      </c>
      <c r="J253" s="22" t="s">
        <v>565</v>
      </c>
    </row>
    <row r="254" ht="14.25" customHeight="1">
      <c r="A254" s="22" t="s">
        <v>816</v>
      </c>
      <c r="B254" s="22" t="s">
        <v>6</v>
      </c>
      <c r="C254" s="22" t="str">
        <f>+'2024_Transactions'!$D254&amp;'2024_Transactions'!$E254</f>
        <v>OmarSpeights</v>
      </c>
      <c r="D254" s="22" t="s">
        <v>684</v>
      </c>
      <c r="E254" s="22" t="s">
        <v>685</v>
      </c>
      <c r="F254" s="22" t="s">
        <v>563</v>
      </c>
      <c r="G254" s="22" t="s">
        <v>32</v>
      </c>
      <c r="H254" s="22" t="s">
        <v>136</v>
      </c>
      <c r="I254" s="22" t="s">
        <v>564</v>
      </c>
      <c r="J254" s="22" t="s">
        <v>565</v>
      </c>
    </row>
    <row r="255" ht="14.25" customHeight="1">
      <c r="A255" s="22" t="s">
        <v>817</v>
      </c>
      <c r="B255" s="22" t="s">
        <v>8</v>
      </c>
      <c r="C255" s="22" t="str">
        <f>+'2024_Transactions'!$D255&amp;'2024_Transactions'!$E255</f>
        <v>OdafeOweh</v>
      </c>
      <c r="D255" s="22" t="s">
        <v>599</v>
      </c>
      <c r="E255" s="22" t="s">
        <v>600</v>
      </c>
      <c r="F255" s="22" t="s">
        <v>563</v>
      </c>
      <c r="G255" s="22" t="s">
        <v>32</v>
      </c>
      <c r="H255" s="22" t="s">
        <v>179</v>
      </c>
      <c r="I255" s="22" t="s">
        <v>564</v>
      </c>
      <c r="J255" s="22" t="s">
        <v>565</v>
      </c>
    </row>
    <row r="256" ht="14.25" customHeight="1">
      <c r="A256" s="22" t="s">
        <v>818</v>
      </c>
      <c r="B256" s="22" t="s">
        <v>8</v>
      </c>
      <c r="C256" s="22" t="str">
        <f>+'2024_Transactions'!$D256&amp;'2024_Transactions'!$E256</f>
        <v>AlecPierce</v>
      </c>
      <c r="D256" s="22" t="s">
        <v>819</v>
      </c>
      <c r="E256" s="22" t="s">
        <v>758</v>
      </c>
      <c r="F256" s="22" t="s">
        <v>567</v>
      </c>
      <c r="G256" s="22" t="s">
        <v>32</v>
      </c>
      <c r="H256" s="22" t="s">
        <v>105</v>
      </c>
      <c r="I256" s="22" t="s">
        <v>564</v>
      </c>
      <c r="J256" s="22" t="s">
        <v>565</v>
      </c>
    </row>
    <row r="257" ht="14.25" customHeight="1">
      <c r="A257" s="22" t="s">
        <v>820</v>
      </c>
      <c r="B257" s="22" t="s">
        <v>6</v>
      </c>
      <c r="C257" s="22" t="str">
        <f>+'2024_Transactions'!$D257&amp;'2024_Transactions'!$E257</f>
        <v>QuentinLake</v>
      </c>
      <c r="D257" s="22" t="s">
        <v>52</v>
      </c>
      <c r="E257" s="22" t="s">
        <v>532</v>
      </c>
      <c r="F257" s="22" t="s">
        <v>573</v>
      </c>
      <c r="G257" s="22" t="s">
        <v>32</v>
      </c>
      <c r="H257" s="22" t="s">
        <v>136</v>
      </c>
      <c r="I257" s="22" t="s">
        <v>564</v>
      </c>
      <c r="J257" s="22" t="s">
        <v>568</v>
      </c>
    </row>
    <row r="258" ht="14.25" customHeight="1">
      <c r="A258" s="22" t="s">
        <v>820</v>
      </c>
      <c r="B258" s="22" t="s">
        <v>6</v>
      </c>
      <c r="C258" s="22" t="str">
        <f>+'2024_Transactions'!$D258&amp;'2024_Transactions'!$E258</f>
        <v>JamelDean</v>
      </c>
      <c r="D258" s="22" t="s">
        <v>542</v>
      </c>
      <c r="E258" s="22" t="s">
        <v>433</v>
      </c>
      <c r="F258" s="22" t="s">
        <v>573</v>
      </c>
      <c r="G258" s="22" t="s">
        <v>32</v>
      </c>
      <c r="H258" s="22" t="s">
        <v>238</v>
      </c>
      <c r="I258" s="22" t="s">
        <v>564</v>
      </c>
      <c r="J258" s="22" t="s">
        <v>568</v>
      </c>
    </row>
    <row r="259" ht="14.25" customHeight="1">
      <c r="A259" s="22" t="s">
        <v>820</v>
      </c>
      <c r="B259" s="22" t="s">
        <v>5</v>
      </c>
      <c r="C259" s="22" t="str">
        <f>+'2024_Transactions'!$D259&amp;'2024_Transactions'!$E259</f>
        <v>KeionWhite</v>
      </c>
      <c r="D259" s="22" t="s">
        <v>821</v>
      </c>
      <c r="E259" s="22" t="s">
        <v>212</v>
      </c>
      <c r="F259" s="22" t="s">
        <v>604</v>
      </c>
      <c r="G259" s="22" t="s">
        <v>32</v>
      </c>
      <c r="H259" s="22" t="s">
        <v>444</v>
      </c>
      <c r="I259" s="22" t="s">
        <v>564</v>
      </c>
      <c r="J259" s="22" t="s">
        <v>568</v>
      </c>
    </row>
    <row r="260" ht="14.25" customHeight="1">
      <c r="A260" s="22" t="s">
        <v>820</v>
      </c>
      <c r="B260" s="22" t="s">
        <v>8</v>
      </c>
      <c r="C260" s="22" t="str">
        <f>+'2024_Transactions'!$D260&amp;'2024_Transactions'!$E260</f>
        <v>MackWilson</v>
      </c>
      <c r="D260" s="22" t="s">
        <v>740</v>
      </c>
      <c r="E260" s="22" t="s">
        <v>215</v>
      </c>
      <c r="F260" s="22" t="s">
        <v>563</v>
      </c>
      <c r="G260" s="22" t="s">
        <v>32</v>
      </c>
      <c r="H260" s="22" t="s">
        <v>213</v>
      </c>
      <c r="I260" s="22" t="s">
        <v>564</v>
      </c>
      <c r="J260" s="22" t="s">
        <v>568</v>
      </c>
    </row>
    <row r="261" ht="14.25" customHeight="1">
      <c r="A261" s="22" t="s">
        <v>820</v>
      </c>
      <c r="B261" s="22" t="s">
        <v>10</v>
      </c>
      <c r="C261" s="22" t="str">
        <f>+'2024_Transactions'!$D261&amp;'2024_Transactions'!$E261</f>
        <v>CamrynBynum</v>
      </c>
      <c r="D261" s="22" t="s">
        <v>499</v>
      </c>
      <c r="E261" s="22" t="s">
        <v>500</v>
      </c>
      <c r="F261" s="22" t="s">
        <v>573</v>
      </c>
      <c r="G261" s="22" t="s">
        <v>32</v>
      </c>
      <c r="H261" s="22" t="s">
        <v>79</v>
      </c>
      <c r="I261" s="22" t="s">
        <v>564</v>
      </c>
      <c r="J261" s="22" t="s">
        <v>568</v>
      </c>
    </row>
    <row r="262" ht="14.25" customHeight="1">
      <c r="A262" s="22" t="s">
        <v>820</v>
      </c>
      <c r="B262" s="22" t="s">
        <v>5</v>
      </c>
      <c r="C262" s="22" t="str">
        <f>+'2024_Transactions'!$D262&amp;'2024_Transactions'!$E262</f>
        <v>ChamarriConner</v>
      </c>
      <c r="D262" s="22" t="s">
        <v>99</v>
      </c>
      <c r="E262" s="22" t="s">
        <v>100</v>
      </c>
      <c r="F262" s="22" t="s">
        <v>573</v>
      </c>
      <c r="G262" s="22" t="s">
        <v>32</v>
      </c>
      <c r="H262" s="22" t="s">
        <v>90</v>
      </c>
      <c r="I262" s="22" t="s">
        <v>564</v>
      </c>
      <c r="J262" s="22" t="s">
        <v>568</v>
      </c>
    </row>
    <row r="263" ht="14.25" customHeight="1">
      <c r="A263" s="22" t="s">
        <v>820</v>
      </c>
      <c r="B263" s="22" t="s">
        <v>8</v>
      </c>
      <c r="C263" s="22" t="str">
        <f>+'2024_Transactions'!$D263&amp;'2024_Transactions'!$E263</f>
        <v>ChristianRozeboom</v>
      </c>
      <c r="D263" s="22" t="s">
        <v>113</v>
      </c>
      <c r="E263" s="22" t="s">
        <v>151</v>
      </c>
      <c r="F263" s="22" t="s">
        <v>563</v>
      </c>
      <c r="G263" s="22" t="s">
        <v>32</v>
      </c>
      <c r="H263" s="22" t="s">
        <v>136</v>
      </c>
      <c r="I263" s="22" t="s">
        <v>564</v>
      </c>
      <c r="J263" s="22" t="s">
        <v>568</v>
      </c>
    </row>
    <row r="264" ht="14.25" customHeight="1">
      <c r="A264" s="22" t="s">
        <v>820</v>
      </c>
      <c r="B264" s="22" t="s">
        <v>11</v>
      </c>
      <c r="C264" s="22" t="str">
        <f>+'2024_Transactions'!$D264&amp;'2024_Transactions'!$E264</f>
        <v>VentrellMiller</v>
      </c>
      <c r="D264" s="23" t="s">
        <v>724</v>
      </c>
      <c r="E264" s="22" t="s">
        <v>407</v>
      </c>
      <c r="F264" s="22" t="s">
        <v>563</v>
      </c>
      <c r="G264" s="22" t="s">
        <v>32</v>
      </c>
      <c r="H264" s="22" t="s">
        <v>148</v>
      </c>
      <c r="I264" s="22" t="s">
        <v>564</v>
      </c>
      <c r="J264" s="22" t="s">
        <v>568</v>
      </c>
    </row>
    <row r="265" ht="14.25" customHeight="1">
      <c r="A265" s="22" t="s">
        <v>820</v>
      </c>
      <c r="B265" s="22" t="s">
        <v>10</v>
      </c>
      <c r="C265" s="22" t="str">
        <f>+'2024_Transactions'!$D265&amp;'2024_Transactions'!$E265</f>
        <v>JahlaniTavai</v>
      </c>
      <c r="D265" s="22" t="s">
        <v>687</v>
      </c>
      <c r="E265" s="22" t="s">
        <v>688</v>
      </c>
      <c r="F265" s="22" t="s">
        <v>563</v>
      </c>
      <c r="G265" s="22" t="s">
        <v>32</v>
      </c>
      <c r="H265" s="22" t="s">
        <v>444</v>
      </c>
      <c r="I265" s="22" t="s">
        <v>564</v>
      </c>
      <c r="J265" s="22" t="s">
        <v>568</v>
      </c>
    </row>
    <row r="266" ht="14.25" customHeight="1">
      <c r="A266" s="22" t="s">
        <v>820</v>
      </c>
      <c r="B266" s="22" t="s">
        <v>5</v>
      </c>
      <c r="C266" s="22" t="str">
        <f>+'2024_Transactions'!$D266&amp;'2024_Transactions'!$E266</f>
        <v>JauanJennings</v>
      </c>
      <c r="D266" s="23" t="s">
        <v>50</v>
      </c>
      <c r="E266" s="22" t="s">
        <v>51</v>
      </c>
      <c r="F266" s="22" t="s">
        <v>567</v>
      </c>
      <c r="G266" s="22" t="s">
        <v>32</v>
      </c>
      <c r="H266" s="22" t="s">
        <v>37</v>
      </c>
      <c r="I266" s="22" t="s">
        <v>564</v>
      </c>
      <c r="J266" s="22" t="s">
        <v>568</v>
      </c>
    </row>
    <row r="267" ht="14.25" customHeight="1">
      <c r="A267" s="22" t="s">
        <v>820</v>
      </c>
      <c r="B267" s="22" t="s">
        <v>10</v>
      </c>
      <c r="C267" s="22" t="str">
        <f>+'2024_Transactions'!$D267&amp;'2024_Transactions'!$E267</f>
        <v>TroyReeder</v>
      </c>
      <c r="D267" s="22" t="s">
        <v>514</v>
      </c>
      <c r="E267" s="22" t="s">
        <v>515</v>
      </c>
      <c r="F267" s="22" t="s">
        <v>563</v>
      </c>
      <c r="G267" s="22" t="s">
        <v>32</v>
      </c>
      <c r="H267" s="22" t="s">
        <v>136</v>
      </c>
      <c r="I267" s="22" t="s">
        <v>564</v>
      </c>
      <c r="J267" s="22" t="s">
        <v>568</v>
      </c>
    </row>
    <row r="268" ht="14.25" customHeight="1">
      <c r="A268" s="22" t="s">
        <v>822</v>
      </c>
      <c r="B268" s="22" t="s">
        <v>13</v>
      </c>
      <c r="C268" s="22" t="str">
        <f>+'2024_Transactions'!$D268&amp;'2024_Transactions'!$E268</f>
        <v>TyChandler</v>
      </c>
      <c r="D268" s="22" t="s">
        <v>207</v>
      </c>
      <c r="E268" s="22" t="s">
        <v>717</v>
      </c>
      <c r="F268" s="22" t="s">
        <v>39</v>
      </c>
      <c r="G268" s="22" t="s">
        <v>32</v>
      </c>
      <c r="H268" s="22" t="s">
        <v>79</v>
      </c>
      <c r="I268" s="22" t="s">
        <v>564</v>
      </c>
      <c r="J268" s="22" t="s">
        <v>568</v>
      </c>
    </row>
    <row r="269" ht="14.25" customHeight="1">
      <c r="A269" s="22" t="s">
        <v>822</v>
      </c>
      <c r="B269" s="22" t="s">
        <v>5</v>
      </c>
      <c r="C269" s="22" t="str">
        <f>+'2024_Transactions'!$D269&amp;'2024_Transactions'!$E269</f>
        <v>PatrickJones II</v>
      </c>
      <c r="D269" s="22" t="s">
        <v>160</v>
      </c>
      <c r="E269" s="22" t="s">
        <v>823</v>
      </c>
      <c r="F269" s="22" t="s">
        <v>604</v>
      </c>
      <c r="G269" s="22" t="s">
        <v>32</v>
      </c>
      <c r="H269" s="22" t="s">
        <v>79</v>
      </c>
      <c r="I269" s="22" t="s">
        <v>564</v>
      </c>
      <c r="J269" s="22" t="s">
        <v>568</v>
      </c>
    </row>
    <row r="270" ht="14.25" customHeight="1">
      <c r="A270" s="22" t="s">
        <v>822</v>
      </c>
      <c r="B270" s="22" t="s">
        <v>12</v>
      </c>
      <c r="C270" s="22" t="str">
        <f>+'2024_Transactions'!$D270&amp;'2024_Transactions'!$E270</f>
        <v>CamAkers</v>
      </c>
      <c r="D270" s="23" t="s">
        <v>354</v>
      </c>
      <c r="E270" s="22" t="s">
        <v>355</v>
      </c>
      <c r="F270" s="22" t="s">
        <v>39</v>
      </c>
      <c r="G270" s="22" t="s">
        <v>32</v>
      </c>
      <c r="H270" s="22" t="s">
        <v>79</v>
      </c>
      <c r="I270" s="22" t="s">
        <v>564</v>
      </c>
      <c r="J270" s="22" t="s">
        <v>568</v>
      </c>
    </row>
    <row r="271" ht="14.25" customHeight="1">
      <c r="A271" s="22" t="s">
        <v>824</v>
      </c>
      <c r="B271" s="22" t="s">
        <v>8</v>
      </c>
      <c r="C271" s="22" t="str">
        <f>+'2024_Transactions'!$D271&amp;'2024_Transactions'!$E271</f>
        <v>TroyReeder</v>
      </c>
      <c r="D271" s="22" t="s">
        <v>514</v>
      </c>
      <c r="E271" s="22" t="s">
        <v>515</v>
      </c>
      <c r="F271" s="22" t="s">
        <v>563</v>
      </c>
      <c r="G271" s="22" t="s">
        <v>32</v>
      </c>
      <c r="H271" s="22" t="s">
        <v>136</v>
      </c>
      <c r="I271" s="22" t="s">
        <v>564</v>
      </c>
      <c r="J271" s="22" t="s">
        <v>565</v>
      </c>
    </row>
    <row r="272" ht="14.25" customHeight="1">
      <c r="A272" s="22" t="s">
        <v>825</v>
      </c>
      <c r="B272" s="22" t="s">
        <v>8</v>
      </c>
      <c r="C272" s="22" t="str">
        <f>+'2024_Transactions'!$D272&amp;'2024_Transactions'!$E272</f>
        <v>DivineDeablo</v>
      </c>
      <c r="D272" s="22" t="s">
        <v>787</v>
      </c>
      <c r="E272" s="22" t="s">
        <v>788</v>
      </c>
      <c r="F272" s="22" t="s">
        <v>563</v>
      </c>
      <c r="G272" s="22" t="s">
        <v>32</v>
      </c>
      <c r="H272" s="22" t="s">
        <v>76</v>
      </c>
      <c r="I272" s="22" t="s">
        <v>564</v>
      </c>
      <c r="J272" s="22" t="s">
        <v>565</v>
      </c>
    </row>
    <row r="273" ht="14.25" customHeight="1">
      <c r="A273" s="22" t="s">
        <v>826</v>
      </c>
      <c r="B273" s="22" t="s">
        <v>11</v>
      </c>
      <c r="C273" s="22" t="str">
        <f>+'2024_Transactions'!$D273&amp;'2024_Transactions'!$E273</f>
        <v>RaheemMostert</v>
      </c>
      <c r="D273" s="22" t="s">
        <v>625</v>
      </c>
      <c r="E273" s="22" t="s">
        <v>626</v>
      </c>
      <c r="F273" s="22" t="s">
        <v>39</v>
      </c>
      <c r="G273" s="22" t="s">
        <v>32</v>
      </c>
      <c r="H273" s="22" t="s">
        <v>58</v>
      </c>
      <c r="I273" s="22" t="s">
        <v>564</v>
      </c>
      <c r="J273" s="22" t="s">
        <v>565</v>
      </c>
    </row>
    <row r="274" ht="14.25" customHeight="1">
      <c r="A274" s="22" t="s">
        <v>827</v>
      </c>
      <c r="B274" s="22" t="s">
        <v>6</v>
      </c>
      <c r="C274" s="22" t="str">
        <f>+'2024_Transactions'!$D274&amp;'2024_Transactions'!$E274</f>
        <v>KeiseanNixon</v>
      </c>
      <c r="D274" s="22" t="s">
        <v>828</v>
      </c>
      <c r="E274" s="22" t="s">
        <v>829</v>
      </c>
      <c r="F274" s="22" t="s">
        <v>573</v>
      </c>
      <c r="G274" s="22" t="s">
        <v>32</v>
      </c>
      <c r="H274" s="22" t="s">
        <v>45</v>
      </c>
      <c r="I274" s="22" t="s">
        <v>564</v>
      </c>
      <c r="J274" s="22" t="s">
        <v>565</v>
      </c>
    </row>
    <row r="275" ht="14.25" customHeight="1">
      <c r="A275" s="22" t="s">
        <v>830</v>
      </c>
      <c r="B275" s="22" t="s">
        <v>7</v>
      </c>
      <c r="C275" s="22" t="str">
        <f>+'2024_Transactions'!$D275&amp;'2024_Transactions'!$E275</f>
        <v>CamrynBynum</v>
      </c>
      <c r="D275" s="22" t="s">
        <v>499</v>
      </c>
      <c r="E275" s="22" t="s">
        <v>500</v>
      </c>
      <c r="F275" s="22" t="s">
        <v>573</v>
      </c>
      <c r="G275" s="22" t="s">
        <v>32</v>
      </c>
      <c r="H275" s="22" t="s">
        <v>79</v>
      </c>
      <c r="I275" s="22" t="s">
        <v>564</v>
      </c>
      <c r="J275" s="22" t="s">
        <v>565</v>
      </c>
    </row>
    <row r="276" ht="14.25" customHeight="1">
      <c r="A276" s="22" t="s">
        <v>831</v>
      </c>
      <c r="B276" s="22" t="s">
        <v>6</v>
      </c>
      <c r="C276" s="22" t="str">
        <f>+'2024_Transactions'!$D276&amp;'2024_Transactions'!$E276</f>
        <v>NickCross</v>
      </c>
      <c r="D276" s="22" t="s">
        <v>40</v>
      </c>
      <c r="E276" s="22" t="s">
        <v>528</v>
      </c>
      <c r="F276" s="22" t="s">
        <v>573</v>
      </c>
      <c r="G276" s="22" t="s">
        <v>32</v>
      </c>
      <c r="H276" s="22" t="s">
        <v>105</v>
      </c>
      <c r="I276" s="22" t="s">
        <v>564</v>
      </c>
      <c r="J276" s="22" t="s">
        <v>568</v>
      </c>
    </row>
    <row r="277" ht="14.25" customHeight="1">
      <c r="A277" s="22" t="s">
        <v>831</v>
      </c>
      <c r="B277" s="22" t="s">
        <v>8</v>
      </c>
      <c r="C277" s="22" t="str">
        <f>+'2024_Transactions'!$D277&amp;'2024_Transactions'!$E277</f>
        <v>AlontaeTaylor</v>
      </c>
      <c r="D277" s="22" t="s">
        <v>416</v>
      </c>
      <c r="E277" s="22" t="s">
        <v>161</v>
      </c>
      <c r="F277" s="22" t="s">
        <v>573</v>
      </c>
      <c r="G277" s="22" t="s">
        <v>32</v>
      </c>
      <c r="H277" s="22" t="s">
        <v>33</v>
      </c>
      <c r="I277" s="22" t="s">
        <v>564</v>
      </c>
      <c r="J277" s="22" t="s">
        <v>568</v>
      </c>
    </row>
    <row r="278" ht="14.25" customHeight="1">
      <c r="A278" s="22" t="s">
        <v>831</v>
      </c>
      <c r="B278" s="22" t="s">
        <v>8</v>
      </c>
      <c r="C278" s="22" t="str">
        <f>+'2024_Transactions'!$D278&amp;'2024_Transactions'!$E278</f>
        <v>TutuAtwell</v>
      </c>
      <c r="D278" s="22" t="s">
        <v>742</v>
      </c>
      <c r="E278" s="22" t="s">
        <v>743</v>
      </c>
      <c r="F278" s="22" t="s">
        <v>567</v>
      </c>
      <c r="G278" s="22" t="s">
        <v>32</v>
      </c>
      <c r="H278" s="22" t="s">
        <v>136</v>
      </c>
      <c r="I278" s="22" t="s">
        <v>564</v>
      </c>
      <c r="J278" s="22" t="s">
        <v>568</v>
      </c>
    </row>
    <row r="279" ht="14.25" customHeight="1">
      <c r="A279" s="22" t="s">
        <v>831</v>
      </c>
      <c r="B279" s="22" t="s">
        <v>8</v>
      </c>
      <c r="C279" s="22" t="str">
        <f>+'2024_Transactions'!$D279&amp;'2024_Transactions'!$E279</f>
        <v>AlecPierce</v>
      </c>
      <c r="D279" s="22" t="s">
        <v>819</v>
      </c>
      <c r="E279" s="22" t="s">
        <v>758</v>
      </c>
      <c r="F279" s="22" t="s">
        <v>567</v>
      </c>
      <c r="G279" s="22" t="s">
        <v>32</v>
      </c>
      <c r="H279" s="22" t="s">
        <v>105</v>
      </c>
      <c r="I279" s="22" t="s">
        <v>564</v>
      </c>
      <c r="J279" s="22" t="s">
        <v>568</v>
      </c>
    </row>
    <row r="280" ht="14.25" customHeight="1">
      <c r="A280" s="22" t="s">
        <v>831</v>
      </c>
      <c r="B280" s="22" t="s">
        <v>10</v>
      </c>
      <c r="C280" s="22" t="str">
        <f>+'2024_Transactions'!$D280&amp;'2024_Transactions'!$E280</f>
        <v>PeteWerner</v>
      </c>
      <c r="D280" s="23" t="s">
        <v>209</v>
      </c>
      <c r="E280" s="22" t="s">
        <v>210</v>
      </c>
      <c r="F280" s="22" t="s">
        <v>563</v>
      </c>
      <c r="G280" s="22" t="s">
        <v>32</v>
      </c>
      <c r="H280" s="22" t="s">
        <v>33</v>
      </c>
      <c r="I280" s="22" t="s">
        <v>564</v>
      </c>
      <c r="J280" s="22" t="s">
        <v>568</v>
      </c>
    </row>
    <row r="281" ht="14.25" customHeight="1">
      <c r="A281" s="22" t="s">
        <v>831</v>
      </c>
      <c r="B281" s="22" t="s">
        <v>9</v>
      </c>
      <c r="C281" s="22" t="str">
        <f>+'2024_Transactions'!$D281&amp;'2024_Transactions'!$E281</f>
        <v>JamienSherwood</v>
      </c>
      <c r="D281" s="23" t="s">
        <v>439</v>
      </c>
      <c r="E281" s="22" t="s">
        <v>440</v>
      </c>
      <c r="F281" s="22" t="s">
        <v>563</v>
      </c>
      <c r="G281" s="22" t="s">
        <v>32</v>
      </c>
      <c r="H281" s="22" t="s">
        <v>49</v>
      </c>
      <c r="I281" s="22" t="s">
        <v>564</v>
      </c>
      <c r="J281" s="22" t="s">
        <v>568</v>
      </c>
    </row>
    <row r="282" ht="14.25" customHeight="1">
      <c r="A282" s="22" t="s">
        <v>831</v>
      </c>
      <c r="B282" s="22" t="s">
        <v>11</v>
      </c>
      <c r="C282" s="22" t="str">
        <f>+'2024_Transactions'!$D282&amp;'2024_Transactions'!$E282</f>
        <v>DevinSingletary</v>
      </c>
      <c r="D282" s="22" t="s">
        <v>173</v>
      </c>
      <c r="E282" s="22" t="s">
        <v>832</v>
      </c>
      <c r="F282" s="22" t="s">
        <v>39</v>
      </c>
      <c r="G282" s="22" t="s">
        <v>32</v>
      </c>
      <c r="H282" s="22" t="s">
        <v>82</v>
      </c>
      <c r="I282" s="22" t="s">
        <v>564</v>
      </c>
      <c r="J282" s="22" t="s">
        <v>568</v>
      </c>
    </row>
    <row r="283" ht="14.25" customHeight="1">
      <c r="A283" s="22" t="s">
        <v>831</v>
      </c>
      <c r="B283" s="22" t="s">
        <v>11</v>
      </c>
      <c r="C283" s="22" t="str">
        <f>+'2024_Transactions'!$D283&amp;'2024_Transactions'!$E283</f>
        <v>QuentinJohnston</v>
      </c>
      <c r="D283" s="23" t="s">
        <v>52</v>
      </c>
      <c r="E283" s="22" t="s">
        <v>53</v>
      </c>
      <c r="F283" s="22" t="s">
        <v>567</v>
      </c>
      <c r="G283" s="22" t="s">
        <v>32</v>
      </c>
      <c r="H283" s="22" t="s">
        <v>54</v>
      </c>
      <c r="I283" s="22" t="s">
        <v>564</v>
      </c>
      <c r="J283" s="22" t="s">
        <v>568</v>
      </c>
    </row>
    <row r="284" ht="14.25" customHeight="1">
      <c r="A284" s="22" t="s">
        <v>831</v>
      </c>
      <c r="B284" s="22" t="s">
        <v>12</v>
      </c>
      <c r="C284" s="22" t="str">
        <f>+'2024_Transactions'!$D284&amp;'2024_Transactions'!$E284</f>
        <v>BaylonSpector</v>
      </c>
      <c r="D284" s="23" t="s">
        <v>833</v>
      </c>
      <c r="E284" s="22" t="s">
        <v>834</v>
      </c>
      <c r="F284" s="22" t="s">
        <v>563</v>
      </c>
      <c r="G284" s="22" t="s">
        <v>32</v>
      </c>
      <c r="H284" s="22" t="s">
        <v>93</v>
      </c>
      <c r="I284" s="22" t="s">
        <v>564</v>
      </c>
      <c r="J284" s="22" t="s">
        <v>568</v>
      </c>
    </row>
    <row r="285" ht="14.25" customHeight="1">
      <c r="A285" s="22" t="s">
        <v>831</v>
      </c>
      <c r="B285" s="22" t="s">
        <v>7</v>
      </c>
      <c r="C285" s="22" t="str">
        <f>+'2024_Transactions'!$D285&amp;'2024_Transactions'!$E285</f>
        <v>JerryJeudy</v>
      </c>
      <c r="D285" s="22" t="s">
        <v>358</v>
      </c>
      <c r="E285" s="22" t="s">
        <v>359</v>
      </c>
      <c r="F285" s="22" t="s">
        <v>567</v>
      </c>
      <c r="G285" s="22" t="s">
        <v>32</v>
      </c>
      <c r="H285" s="22" t="s">
        <v>42</v>
      </c>
      <c r="I285" s="22" t="s">
        <v>564</v>
      </c>
      <c r="J285" s="22" t="s">
        <v>568</v>
      </c>
    </row>
    <row r="286" ht="14.25" customHeight="1">
      <c r="A286" s="22" t="s">
        <v>831</v>
      </c>
      <c r="B286" s="22" t="s">
        <v>12</v>
      </c>
      <c r="C286" s="22" t="str">
        <f>+'2024_Transactions'!$D286&amp;'2024_Transactions'!$E286</f>
        <v>CarsonSteele</v>
      </c>
      <c r="D286" s="23" t="s">
        <v>802</v>
      </c>
      <c r="E286" s="22" t="s">
        <v>803</v>
      </c>
      <c r="F286" s="22" t="s">
        <v>39</v>
      </c>
      <c r="G286" s="22" t="s">
        <v>32</v>
      </c>
      <c r="H286" s="22" t="s">
        <v>90</v>
      </c>
      <c r="I286" s="22" t="s">
        <v>564</v>
      </c>
      <c r="J286" s="22" t="s">
        <v>568</v>
      </c>
    </row>
    <row r="287" ht="14.25" customHeight="1">
      <c r="A287" s="22" t="s">
        <v>831</v>
      </c>
      <c r="B287" s="22" t="s">
        <v>7</v>
      </c>
      <c r="C287" s="22" t="str">
        <f>+'2024_Transactions'!$D287&amp;'2024_Transactions'!$E287</f>
        <v>GardnerMinshew</v>
      </c>
      <c r="D287" s="23" t="s">
        <v>720</v>
      </c>
      <c r="E287" s="22" t="s">
        <v>721</v>
      </c>
      <c r="F287" s="22" t="s">
        <v>29</v>
      </c>
      <c r="G287" s="22" t="s">
        <v>32</v>
      </c>
      <c r="H287" s="22" t="s">
        <v>76</v>
      </c>
      <c r="I287" s="22" t="s">
        <v>564</v>
      </c>
      <c r="J287" s="22" t="s">
        <v>568</v>
      </c>
    </row>
    <row r="288" ht="14.25" customHeight="1">
      <c r="A288" s="22" t="s">
        <v>831</v>
      </c>
      <c r="B288" s="22" t="s">
        <v>9</v>
      </c>
      <c r="C288" s="22" t="str">
        <f>+'2024_Transactions'!$D288&amp;'2024_Transactions'!$E288</f>
        <v>HenryTo'oTo'o</v>
      </c>
      <c r="D288" s="22" t="s">
        <v>250</v>
      </c>
      <c r="E288" s="22" t="s">
        <v>459</v>
      </c>
      <c r="F288" s="22" t="s">
        <v>563</v>
      </c>
      <c r="G288" s="22" t="s">
        <v>32</v>
      </c>
      <c r="H288" s="22" t="s">
        <v>172</v>
      </c>
      <c r="I288" s="22" t="s">
        <v>564</v>
      </c>
      <c r="J288" s="22" t="s">
        <v>568</v>
      </c>
    </row>
    <row r="289" ht="14.25" customHeight="1">
      <c r="A289" s="22" t="s">
        <v>831</v>
      </c>
      <c r="B289" s="22" t="s">
        <v>11</v>
      </c>
      <c r="C289" s="22" t="str">
        <f>+'2024_Transactions'!$D289&amp;'2024_Transactions'!$E289</f>
        <v>DeshaunWatson</v>
      </c>
      <c r="D289" s="23" t="s">
        <v>835</v>
      </c>
      <c r="E289" s="22" t="s">
        <v>836</v>
      </c>
      <c r="F289" s="22" t="s">
        <v>29</v>
      </c>
      <c r="G289" s="22" t="s">
        <v>32</v>
      </c>
      <c r="H289" s="22" t="s">
        <v>42</v>
      </c>
      <c r="I289" s="22" t="s">
        <v>564</v>
      </c>
      <c r="J289" s="22" t="s">
        <v>568</v>
      </c>
    </row>
    <row r="290" ht="14.25" customHeight="1">
      <c r="A290" s="22" t="s">
        <v>837</v>
      </c>
      <c r="B290" s="22" t="s">
        <v>5</v>
      </c>
      <c r="C290" s="22" t="str">
        <f>+'2024_Transactions'!$D290&amp;'2024_Transactions'!$E290</f>
        <v>ZachCharbonnet</v>
      </c>
      <c r="D290" s="22" t="s">
        <v>379</v>
      </c>
      <c r="E290" s="22" t="s">
        <v>380</v>
      </c>
      <c r="F290" s="22" t="s">
        <v>39</v>
      </c>
      <c r="G290" s="22" t="s">
        <v>32</v>
      </c>
      <c r="H290" s="22" t="s">
        <v>110</v>
      </c>
      <c r="I290" s="22" t="s">
        <v>564</v>
      </c>
      <c r="J290" s="22" t="s">
        <v>568</v>
      </c>
    </row>
    <row r="291" ht="14.25" customHeight="1">
      <c r="A291" s="22" t="s">
        <v>838</v>
      </c>
      <c r="B291" s="22" t="s">
        <v>10</v>
      </c>
      <c r="C291" s="22" t="str">
        <f>+'2024_Transactions'!$D291&amp;'2024_Transactions'!$E291</f>
        <v>SirVoceaDennis</v>
      </c>
      <c r="D291" s="22" t="s">
        <v>813</v>
      </c>
      <c r="E291" s="22" t="s">
        <v>814</v>
      </c>
      <c r="F291" s="22" t="s">
        <v>563</v>
      </c>
      <c r="G291" s="22" t="s">
        <v>32</v>
      </c>
      <c r="H291" s="22" t="s">
        <v>238</v>
      </c>
      <c r="I291" s="22" t="s">
        <v>564</v>
      </c>
      <c r="J291" s="22" t="s">
        <v>568</v>
      </c>
    </row>
    <row r="292" ht="14.25" customHeight="1">
      <c r="A292" s="22" t="s">
        <v>839</v>
      </c>
      <c r="B292" s="22" t="s">
        <v>8</v>
      </c>
      <c r="C292" s="22" t="str">
        <f>+'2024_Transactions'!$D292&amp;'2024_Transactions'!$E292</f>
        <v>ElandonRoberts</v>
      </c>
      <c r="D292" s="22" t="s">
        <v>840</v>
      </c>
      <c r="E292" s="22" t="s">
        <v>841</v>
      </c>
      <c r="F292" s="22" t="s">
        <v>563</v>
      </c>
      <c r="G292" s="22" t="s">
        <v>32</v>
      </c>
      <c r="H292" s="22" t="s">
        <v>170</v>
      </c>
      <c r="I292" s="22" t="s">
        <v>564</v>
      </c>
      <c r="J292" s="22" t="s">
        <v>565</v>
      </c>
    </row>
    <row r="293" ht="14.25" customHeight="1">
      <c r="A293" s="22" t="s">
        <v>842</v>
      </c>
      <c r="B293" s="22" t="s">
        <v>8</v>
      </c>
      <c r="C293" s="22" t="str">
        <f>+'2024_Transactions'!$D293&amp;'2024_Transactions'!$E293</f>
        <v>DeshaunWatson</v>
      </c>
      <c r="D293" s="22" t="s">
        <v>835</v>
      </c>
      <c r="E293" s="22" t="s">
        <v>836</v>
      </c>
      <c r="F293" s="22" t="s">
        <v>29</v>
      </c>
      <c r="G293" s="22" t="s">
        <v>32</v>
      </c>
      <c r="H293" s="22" t="s">
        <v>42</v>
      </c>
      <c r="I293" s="22" t="s">
        <v>564</v>
      </c>
      <c r="J293" s="22" t="s">
        <v>565</v>
      </c>
    </row>
    <row r="294" ht="14.25" customHeight="1">
      <c r="A294" s="22" t="s">
        <v>842</v>
      </c>
      <c r="B294" s="22" t="s">
        <v>8</v>
      </c>
      <c r="C294" s="22" t="str">
        <f>+'2024_Transactions'!$D294&amp;'2024_Transactions'!$E294</f>
        <v>DevinSingletary</v>
      </c>
      <c r="D294" s="22" t="s">
        <v>173</v>
      </c>
      <c r="E294" s="22" t="s">
        <v>832</v>
      </c>
      <c r="F294" s="22" t="s">
        <v>39</v>
      </c>
      <c r="G294" s="22" t="s">
        <v>32</v>
      </c>
      <c r="H294" s="22" t="s">
        <v>82</v>
      </c>
      <c r="I294" s="22" t="s">
        <v>564</v>
      </c>
      <c r="J294" s="22" t="s">
        <v>565</v>
      </c>
    </row>
    <row r="295" ht="14.25" customHeight="1">
      <c r="A295" s="22" t="s">
        <v>843</v>
      </c>
      <c r="B295" s="22" t="s">
        <v>7</v>
      </c>
      <c r="C295" s="22" t="str">
        <f>+'2024_Transactions'!$D295&amp;'2024_Transactions'!$E295</f>
        <v>NicholasMorrow</v>
      </c>
      <c r="D295" s="22" t="s">
        <v>844</v>
      </c>
      <c r="E295" s="22" t="s">
        <v>845</v>
      </c>
      <c r="F295" s="22" t="s">
        <v>563</v>
      </c>
      <c r="G295" s="22" t="s">
        <v>32</v>
      </c>
      <c r="H295" s="22" t="s">
        <v>124</v>
      </c>
      <c r="I295" s="22" t="s">
        <v>564</v>
      </c>
      <c r="J295" s="22" t="s">
        <v>565</v>
      </c>
    </row>
    <row r="296" ht="14.25" customHeight="1">
      <c r="A296" s="22" t="s">
        <v>846</v>
      </c>
      <c r="B296" s="22" t="s">
        <v>5</v>
      </c>
      <c r="C296" s="22" t="str">
        <f>+'2024_Transactions'!$D296&amp;'2024_Transactions'!$E296</f>
        <v>DeAndreHopkins</v>
      </c>
      <c r="D296" s="22" t="s">
        <v>425</v>
      </c>
      <c r="E296" s="22" t="s">
        <v>426</v>
      </c>
      <c r="F296" s="22" t="s">
        <v>567</v>
      </c>
      <c r="G296" s="22" t="s">
        <v>32</v>
      </c>
      <c r="H296" s="22" t="s">
        <v>90</v>
      </c>
      <c r="I296" s="22" t="s">
        <v>564</v>
      </c>
      <c r="J296" s="22" t="s">
        <v>565</v>
      </c>
    </row>
    <row r="297" ht="14.25" customHeight="1">
      <c r="A297" s="22" t="s">
        <v>846</v>
      </c>
      <c r="B297" s="22" t="s">
        <v>5</v>
      </c>
      <c r="C297" s="22" t="str">
        <f>+'2024_Transactions'!$D297&amp;'2024_Transactions'!$E297</f>
        <v>AdonaiMitchell</v>
      </c>
      <c r="D297" s="22" t="s">
        <v>847</v>
      </c>
      <c r="E297" s="22" t="s">
        <v>697</v>
      </c>
      <c r="F297" s="22" t="s">
        <v>567</v>
      </c>
      <c r="G297" s="22" t="s">
        <v>32</v>
      </c>
      <c r="H297" s="22" t="s">
        <v>105</v>
      </c>
      <c r="I297" s="22" t="s">
        <v>564</v>
      </c>
      <c r="J297" s="22" t="s">
        <v>565</v>
      </c>
    </row>
    <row r="298" ht="14.25" customHeight="1">
      <c r="A298" s="22" t="s">
        <v>848</v>
      </c>
      <c r="B298" s="22" t="s">
        <v>11</v>
      </c>
      <c r="C298" s="22" t="str">
        <f>+'2024_Transactions'!$D298&amp;'2024_Transactions'!$E298</f>
        <v>BlakeCorum</v>
      </c>
      <c r="D298" s="22" t="s">
        <v>303</v>
      </c>
      <c r="E298" s="22" t="s">
        <v>849</v>
      </c>
      <c r="F298" s="22" t="s">
        <v>39</v>
      </c>
      <c r="G298" s="22" t="s">
        <v>32</v>
      </c>
      <c r="H298" s="22" t="s">
        <v>136</v>
      </c>
      <c r="I298" s="22" t="s">
        <v>564</v>
      </c>
      <c r="J298" s="22" t="s">
        <v>565</v>
      </c>
    </row>
    <row r="299" ht="14.25" customHeight="1">
      <c r="A299" s="22" t="s">
        <v>850</v>
      </c>
      <c r="B299" s="22" t="s">
        <v>11</v>
      </c>
      <c r="C299" s="22" t="str">
        <f>+'2024_Transactions'!$D299&amp;'2024_Transactions'!$E299</f>
        <v>TonyAdams</v>
      </c>
      <c r="D299" s="22" t="s">
        <v>274</v>
      </c>
      <c r="E299" s="22" t="s">
        <v>48</v>
      </c>
      <c r="F299" s="22" t="s">
        <v>573</v>
      </c>
      <c r="G299" s="22" t="s">
        <v>32</v>
      </c>
      <c r="H299" s="22" t="s">
        <v>49</v>
      </c>
      <c r="I299" s="22" t="s">
        <v>564</v>
      </c>
      <c r="J299" s="22" t="s">
        <v>565</v>
      </c>
    </row>
    <row r="300" ht="14.25" customHeight="1">
      <c r="A300" s="22" t="s">
        <v>851</v>
      </c>
      <c r="B300" s="22" t="s">
        <v>6</v>
      </c>
      <c r="C300" s="22" t="str">
        <f>+'2024_Transactions'!$D300&amp;'2024_Transactions'!$E300</f>
        <v>ChuckClark</v>
      </c>
      <c r="D300" s="22" t="s">
        <v>852</v>
      </c>
      <c r="E300" s="22" t="s">
        <v>853</v>
      </c>
      <c r="F300" s="22" t="s">
        <v>573</v>
      </c>
      <c r="G300" s="22" t="s">
        <v>32</v>
      </c>
      <c r="H300" s="22" t="s">
        <v>49</v>
      </c>
      <c r="I300" s="22" t="s">
        <v>564</v>
      </c>
      <c r="J300" s="22" t="s">
        <v>565</v>
      </c>
    </row>
    <row r="301" ht="14.25" customHeight="1">
      <c r="A301" s="22" t="s">
        <v>854</v>
      </c>
      <c r="B301" s="22" t="s">
        <v>6</v>
      </c>
      <c r="C301" s="22" t="str">
        <f>+'2024_Transactions'!$D301&amp;'2024_Transactions'!$E301</f>
        <v>RoschonJohnson</v>
      </c>
      <c r="D301" s="22" t="s">
        <v>807</v>
      </c>
      <c r="E301" s="22" t="s">
        <v>266</v>
      </c>
      <c r="F301" s="22" t="s">
        <v>39</v>
      </c>
      <c r="G301" s="22" t="s">
        <v>32</v>
      </c>
      <c r="H301" s="22" t="s">
        <v>66</v>
      </c>
      <c r="I301" s="22" t="s">
        <v>564</v>
      </c>
      <c r="J301" s="22" t="s">
        <v>565</v>
      </c>
    </row>
    <row r="302" ht="14.25" customHeight="1">
      <c r="A302" s="22" t="s">
        <v>855</v>
      </c>
      <c r="B302" s="22" t="s">
        <v>6</v>
      </c>
      <c r="C302" s="22" t="str">
        <f>+'2024_Transactions'!$D302&amp;'2024_Transactions'!$E302</f>
        <v>KeiseanNixon</v>
      </c>
      <c r="D302" s="22" t="s">
        <v>828</v>
      </c>
      <c r="E302" s="22" t="s">
        <v>829</v>
      </c>
      <c r="F302" s="22" t="s">
        <v>573</v>
      </c>
      <c r="G302" s="22" t="s">
        <v>32</v>
      </c>
      <c r="H302" s="22" t="s">
        <v>45</v>
      </c>
      <c r="I302" s="22" t="s">
        <v>564</v>
      </c>
      <c r="J302" s="22" t="s">
        <v>568</v>
      </c>
    </row>
    <row r="303" ht="14.25" customHeight="1">
      <c r="A303" s="22" t="s">
        <v>855</v>
      </c>
      <c r="B303" s="22" t="s">
        <v>5</v>
      </c>
      <c r="C303" s="22" t="str">
        <f>+'2024_Transactions'!$D303&amp;'2024_Transactions'!$E303</f>
        <v>AdonaiMitchell</v>
      </c>
      <c r="D303" s="22" t="s">
        <v>847</v>
      </c>
      <c r="E303" s="22" t="s">
        <v>697</v>
      </c>
      <c r="F303" s="22" t="s">
        <v>567</v>
      </c>
      <c r="G303" s="22" t="s">
        <v>32</v>
      </c>
      <c r="H303" s="22" t="s">
        <v>105</v>
      </c>
      <c r="I303" s="22" t="s">
        <v>564</v>
      </c>
      <c r="J303" s="22" t="s">
        <v>568</v>
      </c>
    </row>
    <row r="304" ht="14.25" customHeight="1">
      <c r="A304" s="22" t="s">
        <v>855</v>
      </c>
      <c r="B304" s="22" t="s">
        <v>11</v>
      </c>
      <c r="C304" s="22" t="str">
        <f>+'2024_Transactions'!$D304&amp;'2024_Transactions'!$E304</f>
        <v>KeatonMitchell</v>
      </c>
      <c r="D304" s="22" t="s">
        <v>696</v>
      </c>
      <c r="E304" s="22" t="s">
        <v>697</v>
      </c>
      <c r="F304" s="22" t="s">
        <v>39</v>
      </c>
      <c r="G304" s="22" t="s">
        <v>32</v>
      </c>
      <c r="H304" s="22" t="s">
        <v>179</v>
      </c>
      <c r="I304" s="22" t="s">
        <v>564</v>
      </c>
      <c r="J304" s="22" t="s">
        <v>568</v>
      </c>
    </row>
    <row r="305" ht="14.25" customHeight="1">
      <c r="A305" s="22" t="s">
        <v>855</v>
      </c>
      <c r="B305" s="22" t="s">
        <v>6</v>
      </c>
      <c r="C305" s="22" t="str">
        <f>+'2024_Transactions'!$D305&amp;'2024_Transactions'!$E305</f>
        <v>EmanuelWilson</v>
      </c>
      <c r="D305" s="22" t="s">
        <v>783</v>
      </c>
      <c r="E305" s="22" t="s">
        <v>215</v>
      </c>
      <c r="F305" s="22" t="s">
        <v>39</v>
      </c>
      <c r="G305" s="22" t="s">
        <v>32</v>
      </c>
      <c r="H305" s="22" t="s">
        <v>45</v>
      </c>
      <c r="I305" s="22" t="s">
        <v>564</v>
      </c>
      <c r="J305" s="22" t="s">
        <v>568</v>
      </c>
    </row>
    <row r="306" ht="14.25" customHeight="1">
      <c r="A306" s="22" t="s">
        <v>855</v>
      </c>
      <c r="B306" s="22" t="s">
        <v>10</v>
      </c>
      <c r="C306" s="22" t="str">
        <f>+'2024_Transactions'!$D306&amp;'2024_Transactions'!$E306</f>
        <v>MackWilson</v>
      </c>
      <c r="D306" s="23" t="s">
        <v>740</v>
      </c>
      <c r="E306" s="22" t="s">
        <v>215</v>
      </c>
      <c r="F306" s="22" t="s">
        <v>563</v>
      </c>
      <c r="G306" s="22" t="s">
        <v>32</v>
      </c>
      <c r="H306" s="22" t="s">
        <v>213</v>
      </c>
      <c r="I306" s="22" t="s">
        <v>564</v>
      </c>
      <c r="J306" s="22" t="s">
        <v>568</v>
      </c>
    </row>
    <row r="307" ht="14.25" customHeight="1">
      <c r="A307" s="22" t="s">
        <v>855</v>
      </c>
      <c r="B307" s="22" t="s">
        <v>8</v>
      </c>
      <c r="C307" s="22" t="str">
        <f>+'2024_Transactions'!$D307&amp;'2024_Transactions'!$E307</f>
        <v>JustinFields</v>
      </c>
      <c r="D307" s="22" t="s">
        <v>194</v>
      </c>
      <c r="E307" s="22" t="s">
        <v>729</v>
      </c>
      <c r="F307" s="22" t="s">
        <v>29</v>
      </c>
      <c r="G307" s="22" t="s">
        <v>32</v>
      </c>
      <c r="H307" s="22" t="s">
        <v>170</v>
      </c>
      <c r="I307" s="22" t="s">
        <v>564</v>
      </c>
      <c r="J307" s="22" t="s">
        <v>568</v>
      </c>
    </row>
    <row r="308" ht="14.25" customHeight="1">
      <c r="A308" s="22" t="s">
        <v>855</v>
      </c>
      <c r="B308" s="22" t="s">
        <v>12</v>
      </c>
      <c r="C308" s="22" t="str">
        <f>+'2024_Transactions'!$D308&amp;'2024_Transactions'!$E308</f>
        <v>TankBigsby</v>
      </c>
      <c r="D308" s="23" t="s">
        <v>446</v>
      </c>
      <c r="E308" s="22" t="s">
        <v>537</v>
      </c>
      <c r="F308" s="22" t="s">
        <v>39</v>
      </c>
      <c r="G308" s="22" t="s">
        <v>32</v>
      </c>
      <c r="H308" s="22" t="s">
        <v>148</v>
      </c>
      <c r="I308" s="22" t="s">
        <v>564</v>
      </c>
      <c r="J308" s="22" t="s">
        <v>568</v>
      </c>
    </row>
    <row r="309" ht="14.25" customHeight="1">
      <c r="A309" s="22" t="s">
        <v>855</v>
      </c>
      <c r="B309" s="22" t="s">
        <v>5</v>
      </c>
      <c r="C309" s="22" t="str">
        <f>+'2024_Transactions'!$D309&amp;'2024_Transactions'!$E309</f>
        <v>AllenLazard</v>
      </c>
      <c r="D309" s="22" t="s">
        <v>94</v>
      </c>
      <c r="E309" s="22" t="s">
        <v>95</v>
      </c>
      <c r="F309" s="22" t="s">
        <v>567</v>
      </c>
      <c r="G309" s="22" t="s">
        <v>32</v>
      </c>
      <c r="H309" s="22" t="s">
        <v>49</v>
      </c>
      <c r="I309" s="22" t="s">
        <v>564</v>
      </c>
      <c r="J309" s="22" t="s">
        <v>568</v>
      </c>
    </row>
    <row r="310" ht="14.25" customHeight="1">
      <c r="A310" s="22" t="s">
        <v>855</v>
      </c>
      <c r="B310" s="22" t="s">
        <v>5</v>
      </c>
      <c r="C310" s="22" t="str">
        <f>+'2024_Transactions'!$D310&amp;'2024_Transactions'!$E310</f>
        <v>RashidShaheed</v>
      </c>
      <c r="D310" s="22" t="s">
        <v>115</v>
      </c>
      <c r="E310" s="22" t="s">
        <v>116</v>
      </c>
      <c r="F310" s="22" t="s">
        <v>567</v>
      </c>
      <c r="G310" s="22" t="s">
        <v>32</v>
      </c>
      <c r="H310" s="22" t="s">
        <v>33</v>
      </c>
      <c r="I310" s="22" t="s">
        <v>564</v>
      </c>
      <c r="J310" s="22" t="s">
        <v>568</v>
      </c>
    </row>
    <row r="311" ht="14.25" customHeight="1">
      <c r="A311" s="22" t="s">
        <v>855</v>
      </c>
      <c r="B311" s="22" t="s">
        <v>8</v>
      </c>
      <c r="C311" s="22" t="str">
        <f>+'2024_Transactions'!$D311&amp;'2024_Transactions'!$E311</f>
        <v>TroyReeder</v>
      </c>
      <c r="D311" s="22" t="s">
        <v>514</v>
      </c>
      <c r="E311" s="22" t="s">
        <v>515</v>
      </c>
      <c r="F311" s="22" t="s">
        <v>563</v>
      </c>
      <c r="G311" s="22" t="s">
        <v>32</v>
      </c>
      <c r="H311" s="22" t="s">
        <v>136</v>
      </c>
      <c r="I311" s="22" t="s">
        <v>564</v>
      </c>
      <c r="J311" s="22" t="s">
        <v>568</v>
      </c>
    </row>
    <row r="312" ht="14.25" customHeight="1">
      <c r="A312" s="22" t="s">
        <v>855</v>
      </c>
      <c r="B312" s="22" t="s">
        <v>7</v>
      </c>
      <c r="C312" s="22" t="str">
        <f>+'2024_Transactions'!$D312&amp;'2024_Transactions'!$E312</f>
        <v>AndrewVanGinkel</v>
      </c>
      <c r="D312" s="22" t="s">
        <v>311</v>
      </c>
      <c r="E312" s="22" t="s">
        <v>856</v>
      </c>
      <c r="F312" s="22" t="s">
        <v>563</v>
      </c>
      <c r="G312" s="22" t="s">
        <v>32</v>
      </c>
      <c r="H312" s="22" t="s">
        <v>79</v>
      </c>
      <c r="I312" s="22" t="s">
        <v>564</v>
      </c>
      <c r="J312" s="22" t="s">
        <v>568</v>
      </c>
    </row>
    <row r="313" ht="14.25" customHeight="1">
      <c r="A313" s="22" t="s">
        <v>855</v>
      </c>
      <c r="B313" s="22" t="s">
        <v>11</v>
      </c>
      <c r="C313" s="22" t="str">
        <f>+'2024_Transactions'!$D313&amp;'2024_Transactions'!$E313</f>
        <v>TonyAdams</v>
      </c>
      <c r="D313" s="22" t="s">
        <v>274</v>
      </c>
      <c r="E313" s="22" t="s">
        <v>48</v>
      </c>
      <c r="F313" s="22" t="s">
        <v>573</v>
      </c>
      <c r="G313" s="22" t="s">
        <v>32</v>
      </c>
      <c r="H313" s="22" t="s">
        <v>49</v>
      </c>
      <c r="I313" s="22" t="s">
        <v>564</v>
      </c>
      <c r="J313" s="22" t="s">
        <v>568</v>
      </c>
    </row>
    <row r="314" ht="14.25" customHeight="1">
      <c r="A314" s="22" t="s">
        <v>855</v>
      </c>
      <c r="B314" s="22" t="s">
        <v>7</v>
      </c>
      <c r="C314" s="22" t="str">
        <f>+'2024_Transactions'!$D314&amp;'2024_Transactions'!$E314</f>
        <v>ChrisBoswell</v>
      </c>
      <c r="D314" s="23" t="s">
        <v>180</v>
      </c>
      <c r="E314" s="22" t="s">
        <v>302</v>
      </c>
      <c r="F314" s="22" t="s">
        <v>55</v>
      </c>
      <c r="G314" s="22" t="s">
        <v>32</v>
      </c>
      <c r="H314" s="22" t="s">
        <v>170</v>
      </c>
      <c r="I314" s="22" t="s">
        <v>564</v>
      </c>
      <c r="J314" s="22" t="s">
        <v>568</v>
      </c>
    </row>
    <row r="315" ht="14.25" customHeight="1">
      <c r="A315" s="22" t="s">
        <v>855</v>
      </c>
      <c r="B315" s="22" t="s">
        <v>12</v>
      </c>
      <c r="C315" s="22" t="str">
        <f>+'2024_Transactions'!$D315&amp;'2024_Transactions'!$E315</f>
        <v>TravonWalker</v>
      </c>
      <c r="D315" s="22" t="s">
        <v>417</v>
      </c>
      <c r="E315" s="22" t="s">
        <v>153</v>
      </c>
      <c r="F315" s="22" t="s">
        <v>563</v>
      </c>
      <c r="G315" s="22" t="s">
        <v>32</v>
      </c>
      <c r="H315" s="22" t="s">
        <v>148</v>
      </c>
      <c r="I315" s="22" t="s">
        <v>564</v>
      </c>
      <c r="J315" s="22" t="s">
        <v>568</v>
      </c>
    </row>
    <row r="316" ht="14.25" customHeight="1">
      <c r="A316" s="22" t="s">
        <v>855</v>
      </c>
      <c r="B316" s="22" t="s">
        <v>11</v>
      </c>
      <c r="C316" s="22" t="str">
        <f>+'2024_Transactions'!$D316&amp;'2024_Transactions'!$E316</f>
        <v>DariusMuasau</v>
      </c>
      <c r="D316" s="22" t="s">
        <v>175</v>
      </c>
      <c r="E316" s="22" t="s">
        <v>176</v>
      </c>
      <c r="F316" s="22" t="s">
        <v>563</v>
      </c>
      <c r="G316" s="22" t="s">
        <v>32</v>
      </c>
      <c r="H316" s="22" t="s">
        <v>82</v>
      </c>
      <c r="I316" s="22" t="s">
        <v>564</v>
      </c>
      <c r="J316" s="22" t="s">
        <v>568</v>
      </c>
    </row>
    <row r="317" ht="14.25" customHeight="1">
      <c r="A317" s="22" t="s">
        <v>855</v>
      </c>
      <c r="B317" s="22" t="s">
        <v>7</v>
      </c>
      <c r="C317" s="22" t="str">
        <f>+'2024_Transactions'!$D317&amp;'2024_Transactions'!$E317</f>
        <v>JulianBlackmon</v>
      </c>
      <c r="D317" s="22" t="s">
        <v>309</v>
      </c>
      <c r="E317" s="22" t="s">
        <v>327</v>
      </c>
      <c r="F317" s="22" t="s">
        <v>573</v>
      </c>
      <c r="G317" s="22" t="s">
        <v>32</v>
      </c>
      <c r="H317" s="22" t="s">
        <v>105</v>
      </c>
      <c r="I317" s="22" t="s">
        <v>564</v>
      </c>
      <c r="J317" s="22" t="s">
        <v>568</v>
      </c>
    </row>
    <row r="318" ht="14.25" customHeight="1">
      <c r="A318" s="22" t="s">
        <v>855</v>
      </c>
      <c r="B318" s="22" t="s">
        <v>13</v>
      </c>
      <c r="C318" s="22" t="str">
        <f>+'2024_Transactions'!$D318&amp;'2024_Transactions'!$E318</f>
        <v>DeMarvionOvershown</v>
      </c>
      <c r="D318" s="23" t="s">
        <v>373</v>
      </c>
      <c r="E318" s="22" t="s">
        <v>374</v>
      </c>
      <c r="F318" s="22" t="s">
        <v>563</v>
      </c>
      <c r="G318" s="22" t="s">
        <v>32</v>
      </c>
      <c r="H318" s="22" t="s">
        <v>87</v>
      </c>
      <c r="I318" s="22" t="s">
        <v>564</v>
      </c>
      <c r="J318" s="22" t="s">
        <v>568</v>
      </c>
    </row>
    <row r="319" ht="14.25" customHeight="1">
      <c r="A319" s="22" t="s">
        <v>855</v>
      </c>
      <c r="B319" s="22" t="s">
        <v>8</v>
      </c>
      <c r="C319" s="22" t="str">
        <f>+'2024_Transactions'!$D319&amp;'2024_Transactions'!$E319</f>
        <v>JordanMason</v>
      </c>
      <c r="D319" s="22" t="s">
        <v>334</v>
      </c>
      <c r="E319" s="22" t="s">
        <v>619</v>
      </c>
      <c r="F319" s="22" t="s">
        <v>39</v>
      </c>
      <c r="G319" s="22" t="s">
        <v>32</v>
      </c>
      <c r="H319" s="22" t="s">
        <v>37</v>
      </c>
      <c r="I319" s="22" t="s">
        <v>564</v>
      </c>
      <c r="J319" s="22" t="s">
        <v>568</v>
      </c>
    </row>
    <row r="320" ht="14.25" customHeight="1">
      <c r="A320" s="22" t="s">
        <v>855</v>
      </c>
      <c r="B320" s="22" t="s">
        <v>11</v>
      </c>
      <c r="C320" s="22" t="str">
        <f>+'2024_Transactions'!$D320&amp;'2024_Transactions'!$E320</f>
        <v>ZackBaun</v>
      </c>
      <c r="D320" s="23" t="s">
        <v>390</v>
      </c>
      <c r="E320" s="22" t="s">
        <v>391</v>
      </c>
      <c r="F320" s="22" t="s">
        <v>563</v>
      </c>
      <c r="G320" s="22" t="s">
        <v>32</v>
      </c>
      <c r="H320" s="22" t="s">
        <v>124</v>
      </c>
      <c r="I320" s="22" t="s">
        <v>564</v>
      </c>
      <c r="J320" s="22" t="s">
        <v>568</v>
      </c>
    </row>
    <row r="321" ht="14.25" customHeight="1">
      <c r="A321" s="22" t="s">
        <v>857</v>
      </c>
      <c r="B321" s="22" t="s">
        <v>6</v>
      </c>
      <c r="C321" s="22" t="str">
        <f>+'2024_Transactions'!$D321&amp;'2024_Transactions'!$E321</f>
        <v>JoshPalmer</v>
      </c>
      <c r="D321" s="22" t="s">
        <v>43</v>
      </c>
      <c r="E321" s="22" t="s">
        <v>858</v>
      </c>
      <c r="F321" s="22" t="s">
        <v>567</v>
      </c>
      <c r="G321" s="22" t="s">
        <v>32</v>
      </c>
      <c r="H321" s="22" t="s">
        <v>54</v>
      </c>
      <c r="I321" s="22" t="s">
        <v>564</v>
      </c>
      <c r="J321" s="22" t="s">
        <v>565</v>
      </c>
    </row>
    <row r="322" ht="14.25" customHeight="1">
      <c r="A322" s="22" t="s">
        <v>859</v>
      </c>
      <c r="B322" s="22" t="s">
        <v>8</v>
      </c>
      <c r="C322" s="22" t="str">
        <f>+'2024_Transactions'!$D322&amp;'2024_Transactions'!$E322</f>
        <v>PeteWerner</v>
      </c>
      <c r="D322" s="22" t="s">
        <v>209</v>
      </c>
      <c r="E322" s="22" t="s">
        <v>210</v>
      </c>
      <c r="F322" s="22" t="s">
        <v>563</v>
      </c>
      <c r="G322" s="22" t="s">
        <v>32</v>
      </c>
      <c r="H322" s="22" t="s">
        <v>33</v>
      </c>
      <c r="I322" s="22" t="s">
        <v>564</v>
      </c>
      <c r="J322" s="22" t="s">
        <v>565</v>
      </c>
    </row>
    <row r="323" ht="14.25" customHeight="1">
      <c r="A323" s="22" t="s">
        <v>860</v>
      </c>
      <c r="B323" s="22" t="s">
        <v>8</v>
      </c>
      <c r="C323" s="22" t="str">
        <f>+'2024_Transactions'!$D323&amp;'2024_Transactions'!$E323</f>
        <v>DamoneClark</v>
      </c>
      <c r="D323" s="22" t="s">
        <v>861</v>
      </c>
      <c r="E323" s="22" t="s">
        <v>853</v>
      </c>
      <c r="F323" s="22" t="s">
        <v>563</v>
      </c>
      <c r="G323" s="22" t="s">
        <v>32</v>
      </c>
      <c r="H323" s="22" t="s">
        <v>87</v>
      </c>
      <c r="I323" s="22" t="s">
        <v>564</v>
      </c>
      <c r="J323" s="22" t="s">
        <v>565</v>
      </c>
    </row>
    <row r="324" ht="14.25" customHeight="1">
      <c r="A324" s="22" t="s">
        <v>862</v>
      </c>
      <c r="B324" s="22" t="s">
        <v>8</v>
      </c>
      <c r="C324" s="22" t="str">
        <f>+'2024_Transactions'!$D324&amp;'2024_Transactions'!$E324</f>
        <v>DamoneClark</v>
      </c>
      <c r="D324" s="22" t="s">
        <v>861</v>
      </c>
      <c r="E324" s="22" t="s">
        <v>853</v>
      </c>
      <c r="F324" s="22" t="s">
        <v>563</v>
      </c>
      <c r="G324" s="22" t="s">
        <v>32</v>
      </c>
      <c r="H324" s="22" t="s">
        <v>87</v>
      </c>
      <c r="I324" s="22" t="s">
        <v>564</v>
      </c>
      <c r="J324" s="22" t="s">
        <v>568</v>
      </c>
    </row>
    <row r="325" ht="14.25" customHeight="1">
      <c r="A325" s="22" t="s">
        <v>862</v>
      </c>
      <c r="B325" s="22" t="s">
        <v>8</v>
      </c>
      <c r="C325" s="22" t="str">
        <f>+'2024_Transactions'!$D325&amp;'2024_Transactions'!$E325</f>
        <v>PeteWerner</v>
      </c>
      <c r="D325" s="22" t="s">
        <v>209</v>
      </c>
      <c r="E325" s="22" t="s">
        <v>210</v>
      </c>
      <c r="F325" s="22" t="s">
        <v>563</v>
      </c>
      <c r="G325" s="22" t="s">
        <v>32</v>
      </c>
      <c r="H325" s="22" t="s">
        <v>33</v>
      </c>
      <c r="I325" s="22" t="s">
        <v>564</v>
      </c>
      <c r="J325" s="22" t="s">
        <v>568</v>
      </c>
    </row>
    <row r="326" ht="14.25" customHeight="1">
      <c r="A326" s="22" t="s">
        <v>862</v>
      </c>
      <c r="B326" s="22" t="s">
        <v>6</v>
      </c>
      <c r="C326" s="22" t="str">
        <f>+'2024_Transactions'!$D326&amp;'2024_Transactions'!$E326</f>
        <v>JoshPalmer</v>
      </c>
      <c r="D326" s="22" t="s">
        <v>43</v>
      </c>
      <c r="E326" s="22" t="s">
        <v>858</v>
      </c>
      <c r="F326" s="22" t="s">
        <v>567</v>
      </c>
      <c r="G326" s="22" t="s">
        <v>32</v>
      </c>
      <c r="H326" s="22" t="s">
        <v>54</v>
      </c>
      <c r="I326" s="22" t="s">
        <v>564</v>
      </c>
      <c r="J326" s="22" t="s">
        <v>568</v>
      </c>
    </row>
    <row r="327" ht="14.25" customHeight="1">
      <c r="A327" s="22" t="s">
        <v>862</v>
      </c>
      <c r="B327" s="22" t="s">
        <v>8</v>
      </c>
      <c r="C327" s="22" t="str">
        <f>+'2024_Transactions'!$D327&amp;'2024_Transactions'!$E327</f>
        <v>DevinSingletary</v>
      </c>
      <c r="D327" s="22" t="s">
        <v>173</v>
      </c>
      <c r="E327" s="22" t="s">
        <v>832</v>
      </c>
      <c r="F327" s="22" t="s">
        <v>39</v>
      </c>
      <c r="G327" s="22" t="s">
        <v>32</v>
      </c>
      <c r="H327" s="22" t="s">
        <v>82</v>
      </c>
      <c r="I327" s="22" t="s">
        <v>564</v>
      </c>
      <c r="J327" s="22" t="s">
        <v>568</v>
      </c>
    </row>
    <row r="328" ht="14.25" customHeight="1">
      <c r="A328" s="22" t="s">
        <v>862</v>
      </c>
      <c r="B328" s="22" t="s">
        <v>11</v>
      </c>
      <c r="C328" s="22" t="str">
        <f>+'2024_Transactions'!$D328&amp;'2024_Transactions'!$E328</f>
        <v>BradleyChubb</v>
      </c>
      <c r="D328" s="22" t="s">
        <v>863</v>
      </c>
      <c r="E328" s="22" t="s">
        <v>41</v>
      </c>
      <c r="F328" s="22" t="s">
        <v>563</v>
      </c>
      <c r="G328" s="22" t="s">
        <v>32</v>
      </c>
      <c r="H328" s="22" t="s">
        <v>58</v>
      </c>
      <c r="I328" s="22" t="s">
        <v>564</v>
      </c>
      <c r="J328" s="22" t="s">
        <v>568</v>
      </c>
    </row>
    <row r="329" ht="14.25" customHeight="1">
      <c r="A329" s="22" t="s">
        <v>862</v>
      </c>
      <c r="B329" s="22" t="s">
        <v>6</v>
      </c>
      <c r="C329" s="22" t="str">
        <f>+'2024_Transactions'!$D329&amp;'2024_Transactions'!$E329</f>
        <v>OmarSpeights</v>
      </c>
      <c r="D329" s="22" t="s">
        <v>684</v>
      </c>
      <c r="E329" s="22" t="s">
        <v>685</v>
      </c>
      <c r="F329" s="22" t="s">
        <v>563</v>
      </c>
      <c r="G329" s="22" t="s">
        <v>32</v>
      </c>
      <c r="H329" s="22" t="s">
        <v>136</v>
      </c>
      <c r="I329" s="22" t="s">
        <v>564</v>
      </c>
      <c r="J329" s="22" t="s">
        <v>568</v>
      </c>
    </row>
    <row r="330" ht="14.25" customHeight="1">
      <c r="A330" s="22" t="s">
        <v>862</v>
      </c>
      <c r="B330" s="22" t="s">
        <v>8</v>
      </c>
      <c r="C330" s="22" t="str">
        <f>+'2024_Transactions'!$D330&amp;'2024_Transactions'!$E330</f>
        <v>ElandonRoberts</v>
      </c>
      <c r="D330" s="22" t="s">
        <v>840</v>
      </c>
      <c r="E330" s="22" t="s">
        <v>841</v>
      </c>
      <c r="F330" s="22" t="s">
        <v>563</v>
      </c>
      <c r="G330" s="22" t="s">
        <v>32</v>
      </c>
      <c r="H330" s="22" t="s">
        <v>170</v>
      </c>
      <c r="I330" s="22" t="s">
        <v>564</v>
      </c>
      <c r="J330" s="22" t="s">
        <v>568</v>
      </c>
    </row>
    <row r="331" ht="14.25" customHeight="1">
      <c r="A331" s="22" t="s">
        <v>862</v>
      </c>
      <c r="B331" s="22" t="s">
        <v>11</v>
      </c>
      <c r="C331" s="22" t="str">
        <f>+'2024_Transactions'!$D331&amp;'2024_Transactions'!$E331</f>
        <v>DaRonBland</v>
      </c>
      <c r="D331" s="22" t="s">
        <v>231</v>
      </c>
      <c r="E331" s="22" t="s">
        <v>232</v>
      </c>
      <c r="F331" s="22" t="s">
        <v>573</v>
      </c>
      <c r="G331" s="22" t="s">
        <v>32</v>
      </c>
      <c r="H331" s="22" t="s">
        <v>87</v>
      </c>
      <c r="I331" s="22" t="s">
        <v>564</v>
      </c>
      <c r="J331" s="22" t="s">
        <v>568</v>
      </c>
    </row>
    <row r="332" ht="14.25" customHeight="1">
      <c r="A332" s="22" t="s">
        <v>862</v>
      </c>
      <c r="B332" s="22" t="s">
        <v>4</v>
      </c>
      <c r="C332" s="22" t="str">
        <f>+'2024_Transactions'!$D332&amp;'2024_Transactions'!$E332</f>
        <v>GusEdwards</v>
      </c>
      <c r="D332" s="22" t="s">
        <v>272</v>
      </c>
      <c r="E332" s="22" t="s">
        <v>273</v>
      </c>
      <c r="F332" s="22" t="s">
        <v>39</v>
      </c>
      <c r="G332" s="22" t="s">
        <v>32</v>
      </c>
      <c r="H332" s="22" t="s">
        <v>54</v>
      </c>
      <c r="I332" s="22" t="s">
        <v>564</v>
      </c>
      <c r="J332" s="22" t="s">
        <v>568</v>
      </c>
    </row>
    <row r="333" ht="14.25" customHeight="1">
      <c r="A333" s="22" t="s">
        <v>864</v>
      </c>
      <c r="B333" s="22" t="s">
        <v>4</v>
      </c>
      <c r="C333" s="22" t="str">
        <f>+'2024_Transactions'!$D333&amp;'2024_Transactions'!$E333</f>
        <v>AaronDonald</v>
      </c>
      <c r="D333" s="22" t="s">
        <v>251</v>
      </c>
      <c r="E333" s="22" t="s">
        <v>865</v>
      </c>
      <c r="F333" s="22" t="s">
        <v>604</v>
      </c>
      <c r="G333" s="22" t="s">
        <v>32</v>
      </c>
      <c r="H333" s="22" t="s">
        <v>136</v>
      </c>
      <c r="I333" s="22" t="s">
        <v>564</v>
      </c>
      <c r="J333" s="22" t="s">
        <v>565</v>
      </c>
    </row>
    <row r="334" ht="14.25" customHeight="1">
      <c r="A334" s="22" t="s">
        <v>866</v>
      </c>
      <c r="B334" s="22" t="s">
        <v>4</v>
      </c>
      <c r="C334" s="22" t="str">
        <f>+'2024_Transactions'!$D334&amp;'2024_Transactions'!$E334</f>
        <v>AidanO'Connell</v>
      </c>
      <c r="D334" s="22" t="s">
        <v>332</v>
      </c>
      <c r="E334" s="22" t="s">
        <v>635</v>
      </c>
      <c r="F334" s="22" t="s">
        <v>29</v>
      </c>
      <c r="G334" s="22" t="s">
        <v>32</v>
      </c>
      <c r="H334" s="22" t="s">
        <v>76</v>
      </c>
      <c r="I334" s="22" t="s">
        <v>564</v>
      </c>
      <c r="J334" s="22" t="s">
        <v>565</v>
      </c>
    </row>
    <row r="335" ht="14.25" customHeight="1">
      <c r="A335" s="22" t="s">
        <v>867</v>
      </c>
      <c r="B335" s="22" t="s">
        <v>8</v>
      </c>
      <c r="C335" s="22" t="str">
        <f>+'2024_Transactions'!$D335&amp;'2024_Transactions'!$E335</f>
        <v>KhalekeHudson</v>
      </c>
      <c r="D335" s="22" t="s">
        <v>868</v>
      </c>
      <c r="E335" s="22" t="s">
        <v>869</v>
      </c>
      <c r="F335" s="22" t="s">
        <v>563</v>
      </c>
      <c r="G335" s="22" t="s">
        <v>32</v>
      </c>
      <c r="H335" s="22" t="s">
        <v>42</v>
      </c>
      <c r="I335" s="22" t="s">
        <v>564</v>
      </c>
      <c r="J335" s="22" t="s">
        <v>565</v>
      </c>
    </row>
    <row r="336" ht="14.25" customHeight="1">
      <c r="A336" s="22" t="s">
        <v>867</v>
      </c>
      <c r="B336" s="22" t="s">
        <v>8</v>
      </c>
      <c r="C336" s="22" t="str">
        <f>+'2024_Transactions'!$D336&amp;'2024_Transactions'!$E336</f>
        <v>JakeFerguson</v>
      </c>
      <c r="D336" s="22" t="s">
        <v>258</v>
      </c>
      <c r="E336" s="22" t="s">
        <v>870</v>
      </c>
      <c r="F336" s="22" t="s">
        <v>650</v>
      </c>
      <c r="G336" s="22" t="s">
        <v>32</v>
      </c>
      <c r="H336" s="22" t="s">
        <v>87</v>
      </c>
      <c r="I336" s="22" t="s">
        <v>564</v>
      </c>
      <c r="J336" s="22" t="s">
        <v>565</v>
      </c>
    </row>
    <row r="337" ht="14.25" customHeight="1">
      <c r="A337" s="22" t="s">
        <v>871</v>
      </c>
      <c r="B337" s="22" t="s">
        <v>8</v>
      </c>
      <c r="C337" s="22" t="str">
        <f>+'2024_Transactions'!$D337&amp;'2024_Transactions'!$E337</f>
        <v>EzekielElliott</v>
      </c>
      <c r="D337" s="22" t="s">
        <v>872</v>
      </c>
      <c r="E337" s="22" t="s">
        <v>169</v>
      </c>
      <c r="F337" s="22" t="s">
        <v>39</v>
      </c>
      <c r="G337" s="22" t="s">
        <v>32</v>
      </c>
      <c r="H337" s="22" t="s">
        <v>54</v>
      </c>
      <c r="I337" s="22" t="s">
        <v>564</v>
      </c>
      <c r="J337" s="22" t="s">
        <v>565</v>
      </c>
    </row>
    <row r="338" ht="14.25" customHeight="1">
      <c r="A338" s="22" t="s">
        <v>873</v>
      </c>
      <c r="B338" s="22" t="s">
        <v>8</v>
      </c>
      <c r="C338" s="22" t="str">
        <f>+'2024_Transactions'!$D338&amp;'2024_Transactions'!$E338</f>
        <v>JarrettStidham</v>
      </c>
      <c r="D338" s="22" t="s">
        <v>874</v>
      </c>
      <c r="E338" s="22" t="s">
        <v>875</v>
      </c>
      <c r="F338" s="22" t="s">
        <v>29</v>
      </c>
      <c r="G338" s="22" t="s">
        <v>32</v>
      </c>
      <c r="H338" s="22" t="s">
        <v>103</v>
      </c>
      <c r="I338" s="22" t="s">
        <v>564</v>
      </c>
      <c r="J338" s="22" t="s">
        <v>565</v>
      </c>
    </row>
    <row r="339" ht="14.25" customHeight="1">
      <c r="A339" s="22" t="s">
        <v>876</v>
      </c>
      <c r="B339" s="22" t="s">
        <v>7</v>
      </c>
      <c r="C339" s="22" t="str">
        <f>+'2024_Transactions'!$D339&amp;'2024_Transactions'!$E339</f>
        <v>RasheeRice</v>
      </c>
      <c r="D339" s="22" t="s">
        <v>464</v>
      </c>
      <c r="E339" s="22" t="s">
        <v>465</v>
      </c>
      <c r="F339" s="22" t="s">
        <v>567</v>
      </c>
      <c r="G339" s="22" t="s">
        <v>32</v>
      </c>
      <c r="H339" s="22" t="s">
        <v>90</v>
      </c>
      <c r="I339" s="22" t="s">
        <v>564</v>
      </c>
      <c r="J339" s="22" t="s">
        <v>565</v>
      </c>
    </row>
    <row r="340" ht="14.25" customHeight="1">
      <c r="A340" s="24" t="s">
        <v>877</v>
      </c>
    </row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75"/>
    <col customWidth="1" min="3" max="3" width="40.38"/>
    <col customWidth="1" min="4" max="4" width="30.25"/>
    <col customWidth="1" min="5" max="5" width="7.88"/>
    <col customWidth="1" min="6" max="6" width="11.5"/>
    <col customWidth="1" min="7" max="7" width="12.63"/>
    <col customWidth="1" min="8" max="8" width="9.38"/>
    <col customWidth="1" min="9" max="9" width="8.75"/>
    <col customWidth="1" min="10" max="10" width="8.88"/>
    <col customWidth="1" min="11" max="16" width="8.63"/>
    <col customWidth="1" min="17" max="17" width="24.5"/>
    <col customWidth="1" min="18" max="26" width="8.63"/>
  </cols>
  <sheetData>
    <row r="1" ht="14.25" customHeight="1">
      <c r="A1" s="22" t="s">
        <v>878</v>
      </c>
      <c r="B1" s="22" t="s">
        <v>2</v>
      </c>
      <c r="C1" s="22" t="s">
        <v>879</v>
      </c>
      <c r="D1" s="22" t="s">
        <v>880</v>
      </c>
      <c r="E1" s="22" t="s">
        <v>881</v>
      </c>
      <c r="F1" s="22" t="s">
        <v>882</v>
      </c>
      <c r="G1" s="22" t="s">
        <v>883</v>
      </c>
      <c r="H1" s="22" t="s">
        <v>28</v>
      </c>
      <c r="I1" s="25" t="s">
        <v>884</v>
      </c>
      <c r="J1" s="25" t="s">
        <v>885</v>
      </c>
      <c r="K1" s="22" t="s">
        <v>15</v>
      </c>
      <c r="L1" s="22" t="s">
        <v>16</v>
      </c>
      <c r="M1" s="22" t="s">
        <v>17</v>
      </c>
      <c r="N1" s="22" t="s">
        <v>18</v>
      </c>
      <c r="O1" s="22" t="s">
        <v>19</v>
      </c>
      <c r="P1" s="22" t="s">
        <v>886</v>
      </c>
      <c r="Q1" s="22" t="s">
        <v>3</v>
      </c>
      <c r="R1" s="22" t="s">
        <v>565</v>
      </c>
    </row>
    <row r="2" ht="14.25" customHeight="1">
      <c r="A2" s="22" t="s">
        <v>887</v>
      </c>
      <c r="B2" s="22" t="s">
        <v>4</v>
      </c>
      <c r="C2" s="22" t="s">
        <v>888</v>
      </c>
      <c r="D2" s="22"/>
      <c r="E2" s="22" t="s">
        <v>889</v>
      </c>
      <c r="F2" s="22">
        <v>756.0</v>
      </c>
      <c r="G2" s="22">
        <v>710.0</v>
      </c>
      <c r="H2" s="22" t="b">
        <f>(RIGHT('2024_Draft_team'!$C2,8)="(Keeper)")</f>
        <v>1</v>
      </c>
      <c r="I2" s="25" t="str">
        <f>IF(RIGHT(LEFT('2024_Draft_team'!$A2,3))="/",RIGHT(LEFT('2024_Draft_team'!$A2,2),1),RIGHT(LEFT('2024_Draft_team'!$A2,3),2))</f>
        <v>1</v>
      </c>
      <c r="J2" s="26" t="str">
        <f>IF(OR(AND(('2024_Draft_team'!$I2-4)&lt;=0,'2024_Draft_team'!$H2=TRUE),('2024_Draft_team'!$R2=TRUE)),"N/A",IF('2024_Draft_team'!$H2=TRUE,'2024_Draft_team'!$I2-4,'2024_Draft_team'!$I2-0))</f>
        <v>N/A</v>
      </c>
      <c r="K2" s="22" t="s">
        <v>245</v>
      </c>
      <c r="L2" s="22" t="s">
        <v>246</v>
      </c>
      <c r="M2" s="22" t="s">
        <v>29</v>
      </c>
      <c r="N2" s="22" t="s">
        <v>32</v>
      </c>
      <c r="O2" s="22" t="s">
        <v>141</v>
      </c>
      <c r="P2" s="22" t="s">
        <v>890</v>
      </c>
      <c r="Q2" s="22" t="str">
        <f>'2024_Draft_team'!$K2&amp;'2024_Draft_team'!$L2</f>
        <v>JaredGoff</v>
      </c>
      <c r="R2" s="22" t="b">
        <f t="array" ref="R2">IFERROR((INDEX('2024_Transactions'!$J$2:$J$339,MATCH(1,('2024_Draft_team'!$Q2='2024_Transactions'!$C$2:$C$339)*('2024_Draft_team'!$B2='2024_Transactions'!$B$2:$B$339)*('2024_Transactions'!$J$2:$J$339="Dropped"),0))="Dropped"),FALSE)</f>
        <v>0</v>
      </c>
    </row>
    <row r="3" ht="14.25" customHeight="1">
      <c r="A3" s="22" t="s">
        <v>891</v>
      </c>
      <c r="B3" s="22" t="s">
        <v>4</v>
      </c>
      <c r="C3" s="22" t="s">
        <v>892</v>
      </c>
      <c r="D3" s="22" t="s">
        <v>893</v>
      </c>
      <c r="E3" s="22" t="s">
        <v>894</v>
      </c>
      <c r="F3" s="22">
        <v>329.0</v>
      </c>
      <c r="G3" s="22">
        <v>253.0</v>
      </c>
      <c r="H3" s="22" t="b">
        <f>(RIGHT('2024_Draft_team'!$C3,8)="(Keeper)")</f>
        <v>0</v>
      </c>
      <c r="I3" s="25" t="str">
        <f>IF(RIGHT(LEFT('2024_Draft_team'!$A3,3))="/",RIGHT(LEFT('2024_Draft_team'!$A3,2),1),RIGHT(LEFT('2024_Draft_team'!$A3,3),2))</f>
        <v>2</v>
      </c>
      <c r="J3" s="26">
        <f>IF(OR(AND(('2024_Draft_team'!$I3-4)&lt;=0,'2024_Draft_team'!$H3=TRUE),('2024_Draft_team'!$R3=TRUE)),"N/A",IF('2024_Draft_team'!$H3=TRUE,'2024_Draft_team'!$I3-4,'2024_Draft_team'!$I3-0))</f>
        <v>2</v>
      </c>
      <c r="K3" s="22" t="s">
        <v>252</v>
      </c>
      <c r="L3" s="22" t="s">
        <v>253</v>
      </c>
      <c r="M3" s="22" t="s">
        <v>131</v>
      </c>
      <c r="N3" s="22" t="s">
        <v>567</v>
      </c>
      <c r="O3" s="22" t="s">
        <v>32</v>
      </c>
      <c r="P3" s="22" t="s">
        <v>213</v>
      </c>
      <c r="Q3" s="22" t="str">
        <f>'2024_Draft_team'!$K3&amp;'2024_Draft_team'!$L3&amp;'2024_Draft_team'!$M3</f>
        <v>MarvinHarrisonJr.</v>
      </c>
      <c r="R3" s="22" t="b">
        <f t="array" ref="R3">IFERROR((INDEX('2024_Transactions'!$J$2:$J$339,MATCH(1,('2024_Draft_team'!$Q3='2024_Transactions'!$C$2:$C$339)*('2024_Draft_team'!$B3='2024_Transactions'!$B$2:$B$339)*('2024_Transactions'!$J$2:$J$339="Dropped"),0))="Dropped"),FALSE)</f>
        <v>0</v>
      </c>
    </row>
    <row r="4" ht="14.25" customHeight="1">
      <c r="A4" s="22" t="s">
        <v>895</v>
      </c>
      <c r="B4" s="22" t="s">
        <v>4</v>
      </c>
      <c r="C4" s="22" t="s">
        <v>896</v>
      </c>
      <c r="D4" s="22" t="s">
        <v>897</v>
      </c>
      <c r="E4" s="22" t="s">
        <v>898</v>
      </c>
      <c r="F4" s="22">
        <v>666.0</v>
      </c>
      <c r="G4" s="22">
        <v>533.0</v>
      </c>
      <c r="H4" s="22" t="b">
        <f>(RIGHT('2024_Draft_team'!$C4,8)="(Keeper)")</f>
        <v>1</v>
      </c>
      <c r="I4" s="25" t="str">
        <f>IF(RIGHT(LEFT('2024_Draft_team'!$A4,3))="/",RIGHT(LEFT('2024_Draft_team'!$A4,2),1),RIGHT(LEFT('2024_Draft_team'!$A4,3),2))</f>
        <v>3</v>
      </c>
      <c r="J4" s="26" t="str">
        <f>IF(OR(AND(('2024_Draft_team'!$I4-4)&lt;=0,'2024_Draft_team'!$H4=TRUE),('2024_Draft_team'!$R4=TRUE)),"N/A",IF('2024_Draft_team'!$H4=TRUE,'2024_Draft_team'!$I4-4,'2024_Draft_team'!$I4-0))</f>
        <v>N/A</v>
      </c>
      <c r="K4" s="22" t="s">
        <v>249</v>
      </c>
      <c r="L4" s="22" t="s">
        <v>250</v>
      </c>
      <c r="M4" s="22" t="s">
        <v>39</v>
      </c>
      <c r="N4" s="22" t="s">
        <v>32</v>
      </c>
      <c r="O4" s="22" t="s">
        <v>179</v>
      </c>
      <c r="P4" s="22" t="s">
        <v>890</v>
      </c>
      <c r="Q4" s="22" t="str">
        <f>'2024_Draft_team'!$K4&amp;'2024_Draft_team'!$L4</f>
        <v>DerrickHenry</v>
      </c>
      <c r="R4" s="22" t="b">
        <f t="array" ref="R4">IFERROR((INDEX('2024_Transactions'!$J$2:$J$339,MATCH(1,('2024_Draft_team'!$Q4='2024_Transactions'!$C$2:$C$339)*('2024_Draft_team'!$B4='2024_Transactions'!$B$2:$B$339)*('2024_Transactions'!$J$2:$J$339="Dropped"),0))="Dropped"),FALSE)</f>
        <v>0</v>
      </c>
    </row>
    <row r="5" ht="14.25" customHeight="1">
      <c r="A5" s="22" t="s">
        <v>899</v>
      </c>
      <c r="B5" s="22" t="s">
        <v>4</v>
      </c>
      <c r="C5" s="22" t="s">
        <v>900</v>
      </c>
      <c r="D5" s="22" t="s">
        <v>897</v>
      </c>
      <c r="E5" s="22" t="s">
        <v>901</v>
      </c>
      <c r="F5" s="22">
        <v>369.0</v>
      </c>
      <c r="G5" s="22">
        <v>264.0</v>
      </c>
      <c r="H5" s="22" t="b">
        <f>(RIGHT('2024_Draft_team'!$C5,8)="(Keeper)")</f>
        <v>1</v>
      </c>
      <c r="I5" s="25" t="str">
        <f>IF(RIGHT(LEFT('2024_Draft_team'!$A5,3))="/",RIGHT(LEFT('2024_Draft_team'!$A5,2),1),RIGHT(LEFT('2024_Draft_team'!$A5,3),2))</f>
        <v>4</v>
      </c>
      <c r="J5" s="26" t="str">
        <f>IF(OR(AND(('2024_Draft_team'!$I5-4)&lt;=0,'2024_Draft_team'!$H5=TRUE),('2024_Draft_team'!$R5=TRUE)),"N/A",IF('2024_Draft_team'!$H5=TRUE,'2024_Draft_team'!$I5-4,'2024_Draft_team'!$I5-0))</f>
        <v>N/A</v>
      </c>
      <c r="K5" s="22" t="s">
        <v>254</v>
      </c>
      <c r="L5" s="22" t="s">
        <v>255</v>
      </c>
      <c r="M5" s="22" t="s">
        <v>650</v>
      </c>
      <c r="N5" s="22" t="s">
        <v>32</v>
      </c>
      <c r="O5" s="22" t="s">
        <v>90</v>
      </c>
      <c r="P5" s="22" t="s">
        <v>890</v>
      </c>
      <c r="Q5" s="22" t="str">
        <f>'2024_Draft_team'!$K5&amp;'2024_Draft_team'!$L5</f>
        <v>TravisKelce</v>
      </c>
      <c r="R5" s="22" t="b">
        <f t="array" ref="R5">IFERROR((INDEX('2024_Transactions'!$J$2:$J$339,MATCH(1,('2024_Draft_team'!$Q5='2024_Transactions'!$C$2:$C$339)*('2024_Draft_team'!$B5='2024_Transactions'!$B$2:$B$339)*('2024_Transactions'!$J$2:$J$339="Dropped"),0))="Dropped"),FALSE)</f>
        <v>0</v>
      </c>
    </row>
    <row r="6" ht="14.25" customHeight="1">
      <c r="A6" s="22" t="s">
        <v>902</v>
      </c>
      <c r="B6" s="22" t="s">
        <v>4</v>
      </c>
      <c r="C6" s="22" t="s">
        <v>903</v>
      </c>
      <c r="D6" s="22" t="s">
        <v>897</v>
      </c>
      <c r="E6" s="22" t="s">
        <v>904</v>
      </c>
      <c r="F6" s="22">
        <v>382.0</v>
      </c>
      <c r="G6" s="22">
        <v>266.0</v>
      </c>
      <c r="H6" s="22" t="b">
        <f>(RIGHT('2024_Draft_team'!$C6,8)="(Keeper)")</f>
        <v>1</v>
      </c>
      <c r="I6" s="25" t="str">
        <f>IF(RIGHT(LEFT('2024_Draft_team'!$A6,3))="/",RIGHT(LEFT('2024_Draft_team'!$A6,2),1),RIGHT(LEFT('2024_Draft_team'!$A6,3),2))</f>
        <v>5</v>
      </c>
      <c r="J6" s="26">
        <f>IF(OR(AND(('2024_Draft_team'!$I6-4)&lt;=0,'2024_Draft_team'!$H6=TRUE),('2024_Draft_team'!$R6=TRUE)),"N/A",IF('2024_Draft_team'!$H6=TRUE,'2024_Draft_team'!$I6-4,'2024_Draft_team'!$I6-0))</f>
        <v>1</v>
      </c>
      <c r="K6" s="22" t="s">
        <v>251</v>
      </c>
      <c r="L6" s="22" t="s">
        <v>102</v>
      </c>
      <c r="M6" s="22" t="s">
        <v>39</v>
      </c>
      <c r="N6" s="22" t="s">
        <v>32</v>
      </c>
      <c r="O6" s="22" t="s">
        <v>79</v>
      </c>
      <c r="P6" s="22" t="s">
        <v>890</v>
      </c>
      <c r="Q6" s="22" t="str">
        <f>'2024_Draft_team'!$K6&amp;'2024_Draft_team'!$L6</f>
        <v>AaronJones</v>
      </c>
      <c r="R6" s="22" t="b">
        <f t="array" ref="R6">IFERROR((INDEX('2024_Transactions'!$J$2:$J$339,MATCH(1,('2024_Draft_team'!$Q6='2024_Transactions'!$C$2:$C$339)*('2024_Draft_team'!$B6='2024_Transactions'!$B$2:$B$339)*('2024_Transactions'!$J$2:$J$339="Dropped"),0))="Dropped"),FALSE)</f>
        <v>0</v>
      </c>
    </row>
    <row r="7" ht="14.25" customHeight="1">
      <c r="A7" s="22" t="s">
        <v>905</v>
      </c>
      <c r="B7" s="22" t="s">
        <v>4</v>
      </c>
      <c r="C7" s="22" t="s">
        <v>906</v>
      </c>
      <c r="D7" s="22" t="s">
        <v>897</v>
      </c>
      <c r="E7" s="22" t="s">
        <v>907</v>
      </c>
      <c r="F7" s="22">
        <v>302.0</v>
      </c>
      <c r="G7" s="22">
        <v>238.0</v>
      </c>
      <c r="H7" s="22" t="b">
        <f>(RIGHT('2024_Draft_team'!$C7,8)="(Keeper)")</f>
        <v>1</v>
      </c>
      <c r="I7" s="25" t="str">
        <f>IF(RIGHT(LEFT('2024_Draft_team'!$A7,3))="/",RIGHT(LEFT('2024_Draft_team'!$A7,2),1),RIGHT(LEFT('2024_Draft_team'!$A7,3),2))</f>
        <v>6</v>
      </c>
      <c r="J7" s="26">
        <f>IF(OR(AND(('2024_Draft_team'!$I7-4)&lt;=0,'2024_Draft_team'!$H7=TRUE),('2024_Draft_team'!$R7=TRUE)),"N/A",IF('2024_Draft_team'!$H7=TRUE,'2024_Draft_team'!$I7-4,'2024_Draft_team'!$I7-0))</f>
        <v>2</v>
      </c>
      <c r="K7" s="22" t="s">
        <v>269</v>
      </c>
      <c r="L7" s="22" t="s">
        <v>270</v>
      </c>
      <c r="M7" s="22" t="s">
        <v>563</v>
      </c>
      <c r="N7" s="22" t="s">
        <v>32</v>
      </c>
      <c r="O7" s="22" t="s">
        <v>90</v>
      </c>
      <c r="P7" s="22" t="s">
        <v>890</v>
      </c>
      <c r="Q7" s="22" t="str">
        <f>'2024_Draft_team'!$K7&amp;'2024_Draft_team'!$L7</f>
        <v>DrueTranquill</v>
      </c>
      <c r="R7" s="22" t="b">
        <f t="array" ref="R7">IFERROR((INDEX('2024_Transactions'!$J$2:$J$339,MATCH(1,('2024_Draft_team'!$Q7='2024_Transactions'!$C$2:$C$339)*('2024_Draft_team'!$B7='2024_Transactions'!$B$2:$B$339)*('2024_Transactions'!$J$2:$J$339="Dropped"),0))="Dropped"),FALSE)</f>
        <v>0</v>
      </c>
    </row>
    <row r="8" ht="14.25" customHeight="1">
      <c r="A8" s="22" t="s">
        <v>908</v>
      </c>
      <c r="B8" s="22" t="s">
        <v>4</v>
      </c>
      <c r="C8" s="22" t="s">
        <v>909</v>
      </c>
      <c r="D8" s="22" t="s">
        <v>897</v>
      </c>
      <c r="E8" s="22" t="s">
        <v>910</v>
      </c>
      <c r="F8" s="22">
        <v>257.0</v>
      </c>
      <c r="G8" s="22">
        <v>131.0</v>
      </c>
      <c r="H8" s="22" t="b">
        <f>(RIGHT('2024_Draft_team'!$C8,8)="(Keeper)")</f>
        <v>1</v>
      </c>
      <c r="I8" s="25" t="str">
        <f>IF(RIGHT(LEFT('2024_Draft_team'!$A8,3))="/",RIGHT(LEFT('2024_Draft_team'!$A8,2),1),RIGHT(LEFT('2024_Draft_team'!$A8,3),2))</f>
        <v>7</v>
      </c>
      <c r="J8" s="26">
        <f>IF(OR(AND(('2024_Draft_team'!$I8-4)&lt;=0,'2024_Draft_team'!$H8=TRUE),('2024_Draft_team'!$R8=TRUE)),"N/A",IF('2024_Draft_team'!$H8=TRUE,'2024_Draft_team'!$I8-4,'2024_Draft_team'!$I8-0))</f>
        <v>3</v>
      </c>
      <c r="K8" s="22" t="s">
        <v>282</v>
      </c>
      <c r="L8" s="22" t="s">
        <v>283</v>
      </c>
      <c r="M8" s="22" t="s">
        <v>567</v>
      </c>
      <c r="N8" s="22" t="s">
        <v>32</v>
      </c>
      <c r="O8" s="22" t="s">
        <v>37</v>
      </c>
      <c r="P8" s="22" t="s">
        <v>890</v>
      </c>
      <c r="Q8" s="22" t="str">
        <f>'2024_Draft_team'!$K8&amp;'2024_Draft_team'!$L8</f>
        <v>DeeboSamuel</v>
      </c>
      <c r="R8" s="22" t="b">
        <f t="array" ref="R8">IFERROR((INDEX('2024_Transactions'!$J$2:$J$339,MATCH(1,('2024_Draft_team'!$Q8='2024_Transactions'!$C$2:$C$339)*('2024_Draft_team'!$B8='2024_Transactions'!$B$2:$B$339)*('2024_Transactions'!$J$2:$J$339="Dropped"),0))="Dropped"),FALSE)</f>
        <v>0</v>
      </c>
    </row>
    <row r="9" ht="14.25" customHeight="1">
      <c r="A9" s="22" t="s">
        <v>911</v>
      </c>
      <c r="B9" s="22" t="s">
        <v>4</v>
      </c>
      <c r="C9" s="22" t="s">
        <v>912</v>
      </c>
      <c r="D9" s="22" t="s">
        <v>897</v>
      </c>
      <c r="E9" s="22" t="s">
        <v>913</v>
      </c>
      <c r="F9" s="22">
        <v>241.0</v>
      </c>
      <c r="G9" s="22">
        <v>57.0</v>
      </c>
      <c r="H9" s="22" t="b">
        <f>(RIGHT('2024_Draft_team'!$C9,8)="(Keeper)")</f>
        <v>1</v>
      </c>
      <c r="I9" s="25" t="str">
        <f>IF(RIGHT(LEFT('2024_Draft_team'!$A9,3))="/",RIGHT(LEFT('2024_Draft_team'!$A9,2),1),RIGHT(LEFT('2024_Draft_team'!$A9,3),2))</f>
        <v>8</v>
      </c>
      <c r="J9" s="26">
        <f>IF(OR(AND(('2024_Draft_team'!$I9-4)&lt;=0,'2024_Draft_team'!$H9=TRUE),('2024_Draft_team'!$R9=TRUE)),"N/A",IF('2024_Draft_team'!$H9=TRUE,'2024_Draft_team'!$I9-4,'2024_Draft_team'!$I9-0))</f>
        <v>4</v>
      </c>
      <c r="K9" s="22" t="s">
        <v>223</v>
      </c>
      <c r="L9" s="22" t="s">
        <v>284</v>
      </c>
      <c r="M9" s="22" t="s">
        <v>567</v>
      </c>
      <c r="N9" s="22" t="s">
        <v>32</v>
      </c>
      <c r="O9" s="22" t="s">
        <v>58</v>
      </c>
      <c r="P9" s="22" t="s">
        <v>890</v>
      </c>
      <c r="Q9" s="22" t="str">
        <f>'2024_Draft_team'!$K9&amp;'2024_Draft_team'!$L9</f>
        <v>JaylenWaddle</v>
      </c>
      <c r="R9" s="22" t="b">
        <f t="array" ref="R9">IFERROR((INDEX('2024_Transactions'!$J$2:$J$339,MATCH(1,('2024_Draft_team'!$Q9='2024_Transactions'!$C$2:$C$339)*('2024_Draft_team'!$B9='2024_Transactions'!$B$2:$B$339)*('2024_Transactions'!$J$2:$J$339="Dropped"),0))="Dropped"),FALSE)</f>
        <v>0</v>
      </c>
    </row>
    <row r="10" ht="14.25" customHeight="1">
      <c r="A10" s="22" t="s">
        <v>914</v>
      </c>
      <c r="B10" s="22" t="s">
        <v>4</v>
      </c>
      <c r="C10" s="22" t="s">
        <v>915</v>
      </c>
      <c r="D10" s="22" t="s">
        <v>897</v>
      </c>
      <c r="E10" s="22" t="s">
        <v>916</v>
      </c>
      <c r="F10" s="22">
        <v>73.0</v>
      </c>
      <c r="G10" s="22">
        <v>38.0</v>
      </c>
      <c r="H10" s="22" t="b">
        <f>(RIGHT('2024_Draft_team'!$C10,8)="(Keeper)")</f>
        <v>1</v>
      </c>
      <c r="I10" s="25" t="str">
        <f>IF(RIGHT(LEFT('2024_Draft_team'!$A10,3))="/",RIGHT(LEFT('2024_Draft_team'!$A10,2),1),RIGHT(LEFT('2024_Draft_team'!$A10,3),2))</f>
        <v>9</v>
      </c>
      <c r="J10" s="26" t="str">
        <f>IF(OR(AND(('2024_Draft_team'!$I10-4)&lt;=0,'2024_Draft_team'!$H10=TRUE),('2024_Draft_team'!$R10=TRUE)),"N/A",IF('2024_Draft_team'!$H10=TRUE,'2024_Draft_team'!$I10-4,'2024_Draft_team'!$I10-0))</f>
        <v>N/A</v>
      </c>
      <c r="K10" s="22" t="s">
        <v>680</v>
      </c>
      <c r="L10" s="22" t="s">
        <v>376</v>
      </c>
      <c r="M10" s="22" t="s">
        <v>573</v>
      </c>
      <c r="N10" s="22" t="s">
        <v>32</v>
      </c>
      <c r="O10" s="22" t="s">
        <v>54</v>
      </c>
      <c r="P10" s="22" t="s">
        <v>890</v>
      </c>
      <c r="Q10" s="22" t="str">
        <f>'2024_Draft_team'!$K10&amp;'2024_Draft_team'!$L10</f>
        <v>EddieJackson</v>
      </c>
      <c r="R10" s="22" t="b">
        <f t="array" ref="R10">IFERROR((INDEX('2024_Transactions'!$J$2:$J$339,MATCH(1,('2024_Draft_team'!$Q10='2024_Transactions'!$C$2:$C$339)*('2024_Draft_team'!$B10='2024_Transactions'!$B$2:$B$339)*('2024_Transactions'!$J$2:$J$339="Dropped"),0))="Dropped"),FALSE)</f>
        <v>1</v>
      </c>
    </row>
    <row r="11" ht="14.25" customHeight="1">
      <c r="A11" s="22" t="s">
        <v>917</v>
      </c>
      <c r="B11" s="22" t="s">
        <v>4</v>
      </c>
      <c r="C11" s="22" t="s">
        <v>918</v>
      </c>
      <c r="D11" s="22" t="s">
        <v>919</v>
      </c>
      <c r="E11" s="22" t="s">
        <v>920</v>
      </c>
      <c r="F11" s="22">
        <v>317.0</v>
      </c>
      <c r="G11" s="22">
        <v>98.0</v>
      </c>
      <c r="H11" s="22" t="b">
        <f>(RIGHT('2024_Draft_team'!$C11,8)="(Keeper)")</f>
        <v>0</v>
      </c>
      <c r="I11" s="25" t="str">
        <f>IF(RIGHT(LEFT('2024_Draft_team'!$A11,3))="/",RIGHT(LEFT('2024_Draft_team'!$A11,2),1),RIGHT(LEFT('2024_Draft_team'!$A11,3),2))</f>
        <v>10</v>
      </c>
      <c r="J11" s="26">
        <f>IF(OR(AND(('2024_Draft_team'!$I11-4)&lt;=0,'2024_Draft_team'!$H11=TRUE),('2024_Draft_team'!$R11=TRUE)),"N/A",IF('2024_Draft_team'!$H11=TRUE,'2024_Draft_team'!$I11-4,'2024_Draft_team'!$I11-0))</f>
        <v>10</v>
      </c>
      <c r="K11" s="22" t="s">
        <v>274</v>
      </c>
      <c r="L11" s="22" t="s">
        <v>275</v>
      </c>
      <c r="M11" s="22" t="s">
        <v>39</v>
      </c>
      <c r="N11" s="22" t="s">
        <v>32</v>
      </c>
      <c r="O11" s="22" t="s">
        <v>71</v>
      </c>
      <c r="P11" s="22"/>
      <c r="Q11" s="22" t="str">
        <f>'2024_Draft_team'!$K11&amp;'2024_Draft_team'!$L11</f>
        <v>TonyPollard</v>
      </c>
      <c r="R11" s="22" t="b">
        <f t="array" ref="R11">IFERROR((INDEX('2024_Transactions'!$J$2:$J$339,MATCH(1,('2024_Draft_team'!$Q11='2024_Transactions'!$C$2:$C$339)*('2024_Draft_team'!$B11='2024_Transactions'!$B$2:$B$339)*('2024_Transactions'!$J$2:$J$339="Dropped"),0))="Dropped"),FALSE)</f>
        <v>0</v>
      </c>
    </row>
    <row r="12" ht="14.25" customHeight="1">
      <c r="A12" s="22" t="s">
        <v>921</v>
      </c>
      <c r="B12" s="22" t="s">
        <v>4</v>
      </c>
      <c r="C12" s="22" t="s">
        <v>922</v>
      </c>
      <c r="D12" s="22" t="s">
        <v>923</v>
      </c>
      <c r="E12" s="22" t="s">
        <v>924</v>
      </c>
      <c r="F12" s="22">
        <v>403.0</v>
      </c>
      <c r="G12" s="22">
        <v>360.0</v>
      </c>
      <c r="H12" s="22" t="b">
        <f>(RIGHT('2024_Draft_team'!$C12,8)="(Keeper)")</f>
        <v>1</v>
      </c>
      <c r="I12" s="25" t="str">
        <f>IF(RIGHT(LEFT('2024_Draft_team'!$A12,3))="/",RIGHT(LEFT('2024_Draft_team'!$A12,2),1),RIGHT(LEFT('2024_Draft_team'!$A12,3),2))</f>
        <v>11</v>
      </c>
      <c r="J12" s="26">
        <f>IF(OR(AND(('2024_Draft_team'!$I12-4)&lt;=0,'2024_Draft_team'!$H12=TRUE),('2024_Draft_team'!$R12=TRUE)),"N/A",IF('2024_Draft_team'!$H12=TRUE,'2024_Draft_team'!$I12-4,'2024_Draft_team'!$I12-0))</f>
        <v>7</v>
      </c>
      <c r="K12" s="22" t="s">
        <v>263</v>
      </c>
      <c r="L12" s="22" t="s">
        <v>264</v>
      </c>
      <c r="M12" s="22" t="s">
        <v>563</v>
      </c>
      <c r="N12" s="22" t="s">
        <v>32</v>
      </c>
      <c r="O12" s="22" t="s">
        <v>238</v>
      </c>
      <c r="P12" s="22" t="s">
        <v>890</v>
      </c>
      <c r="Q12" s="22" t="str">
        <f>'2024_Draft_team'!$K12&amp;'2024_Draft_team'!$L12</f>
        <v>LavonteDavid</v>
      </c>
      <c r="R12" s="22" t="b">
        <f t="array" ref="R12">IFERROR((INDEX('2024_Transactions'!$J$2:$J$339,MATCH(1,('2024_Draft_team'!$Q12='2024_Transactions'!$C$2:$C$339)*('2024_Draft_team'!$B12='2024_Transactions'!$B$2:$B$339)*('2024_Transactions'!$J$2:$J$339="Dropped"),0))="Dropped"),FALSE)</f>
        <v>0</v>
      </c>
    </row>
    <row r="13" ht="14.25" customHeight="1">
      <c r="A13" s="22" t="s">
        <v>925</v>
      </c>
      <c r="B13" s="22" t="s">
        <v>4</v>
      </c>
      <c r="C13" s="22" t="s">
        <v>926</v>
      </c>
      <c r="D13" s="22" t="s">
        <v>897</v>
      </c>
      <c r="E13" s="22" t="s">
        <v>927</v>
      </c>
      <c r="F13" s="22">
        <v>183.0</v>
      </c>
      <c r="G13" s="22">
        <v>170.0</v>
      </c>
      <c r="H13" s="22" t="b">
        <f>(RIGHT('2024_Draft_team'!$C13,8)="(Keeper)")</f>
        <v>1</v>
      </c>
      <c r="I13" s="25" t="str">
        <f>IF(RIGHT(LEFT('2024_Draft_team'!$A13,3))="/",RIGHT(LEFT('2024_Draft_team'!$A13,2),1),RIGHT(LEFT('2024_Draft_team'!$A13,3),2))</f>
        <v>12</v>
      </c>
      <c r="J13" s="26">
        <f>IF(OR(AND(('2024_Draft_team'!$I13-4)&lt;=0,'2024_Draft_team'!$H13=TRUE),('2024_Draft_team'!$R13=TRUE)),"N/A",IF('2024_Draft_team'!$H13=TRUE,'2024_Draft_team'!$I13-4,'2024_Draft_team'!$I13-0))</f>
        <v>8</v>
      </c>
      <c r="K13" s="22" t="s">
        <v>288</v>
      </c>
      <c r="L13" s="22" t="s">
        <v>289</v>
      </c>
      <c r="M13" s="22" t="s">
        <v>131</v>
      </c>
      <c r="N13" s="22" t="s">
        <v>573</v>
      </c>
      <c r="O13" s="22" t="s">
        <v>32</v>
      </c>
      <c r="P13" s="22" t="s">
        <v>238</v>
      </c>
      <c r="Q13" s="22" t="str">
        <f>'2024_Draft_team'!$K13&amp;'2024_Draft_team'!$L13&amp;'2024_Draft_team'!$M13</f>
        <v>AntoineWinfieldJr.</v>
      </c>
      <c r="R13" s="22" t="b">
        <f t="array" ref="R13">IFERROR((INDEX('2024_Transactions'!$J$2:$J$339,MATCH(1,('2024_Draft_team'!$Q13='2024_Transactions'!$C$2:$C$339)*('2024_Draft_team'!$B13='2024_Transactions'!$B$2:$B$339)*('2024_Transactions'!$J$2:$J$339="Dropped"),0))="Dropped"),FALSE)</f>
        <v>0</v>
      </c>
    </row>
    <row r="14" ht="14.25" customHeight="1">
      <c r="A14" s="22" t="s">
        <v>928</v>
      </c>
      <c r="B14" s="22" t="s">
        <v>4</v>
      </c>
      <c r="C14" s="22" t="s">
        <v>929</v>
      </c>
      <c r="D14" s="22" t="s">
        <v>897</v>
      </c>
      <c r="E14" s="22" t="s">
        <v>930</v>
      </c>
      <c r="F14" s="22">
        <v>210.0</v>
      </c>
      <c r="G14" s="22">
        <v>42.0</v>
      </c>
      <c r="H14" s="22" t="b">
        <f>(RIGHT('2024_Draft_team'!$C14,8)="(Keeper)")</f>
        <v>1</v>
      </c>
      <c r="I14" s="25" t="str">
        <f>IF(RIGHT(LEFT('2024_Draft_team'!$A14,3))="/",RIGHT(LEFT('2024_Draft_team'!$A14,2),1),RIGHT(LEFT('2024_Draft_team'!$A14,3),2))</f>
        <v>13</v>
      </c>
      <c r="J14" s="26">
        <f>IF(OR(AND(('2024_Draft_team'!$I14-4)&lt;=0,'2024_Draft_team'!$H14=TRUE),('2024_Draft_team'!$R14=TRUE)),"N/A",IF('2024_Draft_team'!$H14=TRUE,'2024_Draft_team'!$I14-4,'2024_Draft_team'!$I14-0))</f>
        <v>9</v>
      </c>
      <c r="K14" s="22" t="s">
        <v>280</v>
      </c>
      <c r="L14" s="22" t="s">
        <v>281</v>
      </c>
      <c r="M14" s="22" t="s">
        <v>567</v>
      </c>
      <c r="N14" s="22" t="s">
        <v>32</v>
      </c>
      <c r="O14" s="22" t="s">
        <v>110</v>
      </c>
      <c r="P14" s="22" t="s">
        <v>890</v>
      </c>
      <c r="Q14" s="22" t="str">
        <f>'2024_Draft_team'!$K14&amp;'2024_Draft_team'!$L14</f>
        <v>TylerLockett</v>
      </c>
      <c r="R14" s="22" t="b">
        <f t="array" ref="R14">IFERROR((INDEX('2024_Transactions'!$J$2:$J$339,MATCH(1,('2024_Draft_team'!$Q14='2024_Transactions'!$C$2:$C$339)*('2024_Draft_team'!$B14='2024_Transactions'!$B$2:$B$339)*('2024_Transactions'!$J$2:$J$339="Dropped"),0))="Dropped"),FALSE)</f>
        <v>0</v>
      </c>
    </row>
    <row r="15" ht="14.25" customHeight="1">
      <c r="A15" s="22" t="s">
        <v>931</v>
      </c>
      <c r="B15" s="22" t="s">
        <v>4</v>
      </c>
      <c r="C15" s="22" t="s">
        <v>932</v>
      </c>
      <c r="D15" s="22" t="s">
        <v>897</v>
      </c>
      <c r="E15" s="22" t="s">
        <v>933</v>
      </c>
      <c r="F15" s="22">
        <v>870.0</v>
      </c>
      <c r="G15" s="22">
        <v>667.0</v>
      </c>
      <c r="H15" s="22" t="b">
        <f>(RIGHT('2024_Draft_team'!$C15,8)="(Keeper)")</f>
        <v>1</v>
      </c>
      <c r="I15" s="25" t="str">
        <f>IF(RIGHT(LEFT('2024_Draft_team'!$A15,3))="/",RIGHT(LEFT('2024_Draft_team'!$A15,2),1),RIGHT(LEFT('2024_Draft_team'!$A15,3),2))</f>
        <v>14</v>
      </c>
      <c r="J15" s="26">
        <f>IF(OR(AND(('2024_Draft_team'!$I15-4)&lt;=0,'2024_Draft_team'!$H15=TRUE),('2024_Draft_team'!$R15=TRUE)),"N/A",IF('2024_Draft_team'!$H15=TRUE,'2024_Draft_team'!$I15-4,'2024_Draft_team'!$I15-0))</f>
        <v>10</v>
      </c>
      <c r="K15" s="22" t="s">
        <v>247</v>
      </c>
      <c r="L15" s="22" t="s">
        <v>248</v>
      </c>
      <c r="M15" s="22" t="s">
        <v>29</v>
      </c>
      <c r="N15" s="22" t="s">
        <v>32</v>
      </c>
      <c r="O15" s="22" t="s">
        <v>238</v>
      </c>
      <c r="P15" s="22" t="s">
        <v>890</v>
      </c>
      <c r="Q15" s="22" t="str">
        <f>'2024_Draft_team'!$K15&amp;'2024_Draft_team'!$L15</f>
        <v>BakerMayfield</v>
      </c>
      <c r="R15" s="22" t="b">
        <f t="array" ref="R15">IFERROR((INDEX('2024_Transactions'!$J$2:$J$339,MATCH(1,('2024_Draft_team'!$Q15='2024_Transactions'!$C$2:$C$339)*('2024_Draft_team'!$B15='2024_Transactions'!$B$2:$B$339)*('2024_Transactions'!$J$2:$J$339="Dropped"),0))="Dropped"),FALSE)</f>
        <v>0</v>
      </c>
    </row>
    <row r="16" ht="14.25" customHeight="1">
      <c r="A16" s="22" t="s">
        <v>934</v>
      </c>
      <c r="B16" s="22" t="s">
        <v>4</v>
      </c>
      <c r="C16" s="22" t="s">
        <v>935</v>
      </c>
      <c r="D16" s="22" t="s">
        <v>897</v>
      </c>
      <c r="E16" s="22" t="s">
        <v>936</v>
      </c>
      <c r="F16" s="22">
        <v>597.0</v>
      </c>
      <c r="G16" s="22">
        <v>95.0</v>
      </c>
      <c r="H16" s="22" t="b">
        <f>(RIGHT('2024_Draft_team'!$C16,8)="(Keeper)")</f>
        <v>1</v>
      </c>
      <c r="I16" s="25" t="str">
        <f>IF(RIGHT(LEFT('2024_Draft_team'!$A16,3))="/",RIGHT(LEFT('2024_Draft_team'!$A16,2),1),RIGHT(LEFT('2024_Draft_team'!$A16,3),2))</f>
        <v>15</v>
      </c>
      <c r="J16" s="26">
        <f>IF(OR(AND(('2024_Draft_team'!$I16-4)&lt;=0,'2024_Draft_team'!$H16=TRUE),('2024_Draft_team'!$R16=TRUE)),"N/A",IF('2024_Draft_team'!$H16=TRUE,'2024_Draft_team'!$I16-4,'2024_Draft_team'!$I16-0))</f>
        <v>11</v>
      </c>
      <c r="K16" s="22" t="s">
        <v>251</v>
      </c>
      <c r="L16" s="22" t="s">
        <v>271</v>
      </c>
      <c r="M16" s="22" t="s">
        <v>29</v>
      </c>
      <c r="N16" s="22" t="s">
        <v>32</v>
      </c>
      <c r="O16" s="22" t="s">
        <v>49</v>
      </c>
      <c r="P16" s="22" t="s">
        <v>890</v>
      </c>
      <c r="Q16" s="22" t="str">
        <f>'2024_Draft_team'!$K16&amp;'2024_Draft_team'!$L16</f>
        <v>AaronRodgers</v>
      </c>
      <c r="R16" s="22" t="b">
        <f t="array" ref="R16">IFERROR((INDEX('2024_Transactions'!$J$2:$J$339,MATCH(1,('2024_Draft_team'!$Q16='2024_Transactions'!$C$2:$C$339)*('2024_Draft_team'!$B16='2024_Transactions'!$B$2:$B$339)*('2024_Transactions'!$J$2:$J$339="Dropped"),0))="Dropped"),FALSE)</f>
        <v>0</v>
      </c>
    </row>
    <row r="17" ht="14.25" customHeight="1">
      <c r="A17" s="22" t="s">
        <v>937</v>
      </c>
      <c r="B17" s="22" t="s">
        <v>4</v>
      </c>
      <c r="C17" s="22" t="s">
        <v>938</v>
      </c>
      <c r="D17" s="22" t="s">
        <v>897</v>
      </c>
      <c r="E17" s="22" t="s">
        <v>939</v>
      </c>
      <c r="F17" s="22">
        <v>241.0</v>
      </c>
      <c r="G17" s="22">
        <v>221.0</v>
      </c>
      <c r="H17" s="22" t="b">
        <f>(RIGHT('2024_Draft_team'!$C17,8)="(Keeper)")</f>
        <v>1</v>
      </c>
      <c r="I17" s="25" t="str">
        <f>IF(RIGHT(LEFT('2024_Draft_team'!$A17,3))="/",RIGHT(LEFT('2024_Draft_team'!$A17,2),1),RIGHT(LEFT('2024_Draft_team'!$A17,3),2))</f>
        <v>16</v>
      </c>
      <c r="J17" s="26">
        <f>IF(OR(AND(('2024_Draft_team'!$I17-4)&lt;=0,'2024_Draft_team'!$H17=TRUE),('2024_Draft_team'!$R17=TRUE)),"N/A",IF('2024_Draft_team'!$H17=TRUE,'2024_Draft_team'!$I17-4,'2024_Draft_team'!$I17-0))</f>
        <v>12</v>
      </c>
      <c r="K17" s="22" t="s">
        <v>261</v>
      </c>
      <c r="L17" s="22" t="s">
        <v>262</v>
      </c>
      <c r="M17" s="22" t="s">
        <v>573</v>
      </c>
      <c r="N17" s="22" t="s">
        <v>32</v>
      </c>
      <c r="O17" s="22" t="s">
        <v>136</v>
      </c>
      <c r="P17" s="22" t="s">
        <v>890</v>
      </c>
      <c r="Q17" s="22" t="str">
        <f>'2024_Draft_team'!$K17&amp;'2024_Draft_team'!$L17</f>
        <v>KamrenCurl</v>
      </c>
      <c r="R17" s="22" t="b">
        <f t="array" ref="R17">IFERROR((INDEX('2024_Transactions'!$J$2:$J$339,MATCH(1,('2024_Draft_team'!$Q17='2024_Transactions'!$C$2:$C$339)*('2024_Draft_team'!$B17='2024_Transactions'!$B$2:$B$339)*('2024_Transactions'!$J$2:$J$339="Dropped"),0))="Dropped"),FALSE)</f>
        <v>0</v>
      </c>
    </row>
    <row r="18" ht="14.25" customHeight="1">
      <c r="A18" s="22" t="s">
        <v>940</v>
      </c>
      <c r="B18" s="22" t="s">
        <v>4</v>
      </c>
      <c r="C18" s="22" t="s">
        <v>941</v>
      </c>
      <c r="D18" s="22" t="s">
        <v>897</v>
      </c>
      <c r="E18" s="22" t="s">
        <v>942</v>
      </c>
      <c r="F18" s="22">
        <v>157.0</v>
      </c>
      <c r="G18" s="22">
        <v>102.0</v>
      </c>
      <c r="H18" s="22" t="b">
        <f>(RIGHT('2024_Draft_team'!$C18,8)="(Keeper)")</f>
        <v>1</v>
      </c>
      <c r="I18" s="25" t="str">
        <f>IF(RIGHT(LEFT('2024_Draft_team'!$A18,3))="/",RIGHT(LEFT('2024_Draft_team'!$A18,2),1),RIGHT(LEFT('2024_Draft_team'!$A18,3),2))</f>
        <v>17</v>
      </c>
      <c r="J18" s="26" t="str">
        <f>IF(OR(AND(('2024_Draft_team'!$I18-4)&lt;=0,'2024_Draft_team'!$H18=TRUE),('2024_Draft_team'!$R18=TRUE)),"N/A",IF('2024_Draft_team'!$H18=TRUE,'2024_Draft_team'!$I18-4,'2024_Draft_team'!$I18-0))</f>
        <v>N/A</v>
      </c>
      <c r="K18" s="22" t="s">
        <v>622</v>
      </c>
      <c r="L18" s="22" t="s">
        <v>623</v>
      </c>
      <c r="M18" s="22" t="s">
        <v>573</v>
      </c>
      <c r="N18" s="22" t="s">
        <v>32</v>
      </c>
      <c r="O18" s="22" t="s">
        <v>110</v>
      </c>
      <c r="P18" s="22" t="s">
        <v>890</v>
      </c>
      <c r="Q18" s="22" t="str">
        <f>'2024_Draft_team'!$K18&amp;'2024_Draft_team'!$L18</f>
        <v>RayshawnJenkins</v>
      </c>
      <c r="R18" s="22" t="b">
        <f t="array" ref="R18">IFERROR((INDEX('2024_Transactions'!$J$2:$J$339,MATCH(1,('2024_Draft_team'!$Q18='2024_Transactions'!$C$2:$C$339)*('2024_Draft_team'!$B18='2024_Transactions'!$B$2:$B$339)*('2024_Transactions'!$J$2:$J$339="Dropped"),0))="Dropped"),FALSE)</f>
        <v>1</v>
      </c>
    </row>
    <row r="19" ht="14.25" customHeight="1">
      <c r="A19" s="22" t="s">
        <v>943</v>
      </c>
      <c r="B19" s="22" t="s">
        <v>4</v>
      </c>
      <c r="C19" s="22" t="s">
        <v>944</v>
      </c>
      <c r="D19" s="22" t="s">
        <v>897</v>
      </c>
      <c r="E19" s="22" t="s">
        <v>945</v>
      </c>
      <c r="F19" s="22">
        <v>224.0</v>
      </c>
      <c r="G19" s="22">
        <v>153.0</v>
      </c>
      <c r="H19" s="22" t="b">
        <f>(RIGHT('2024_Draft_team'!$C19,8)="(Keeper)")</f>
        <v>1</v>
      </c>
      <c r="I19" s="25" t="str">
        <f>IF(RIGHT(LEFT('2024_Draft_team'!$A19,3))="/",RIGHT(LEFT('2024_Draft_team'!$A19,2),1),RIGHT(LEFT('2024_Draft_team'!$A19,3),2))</f>
        <v>18</v>
      </c>
      <c r="J19" s="26">
        <f>IF(OR(AND(('2024_Draft_team'!$I19-4)&lt;=0,'2024_Draft_team'!$H19=TRUE),('2024_Draft_team'!$R19=TRUE)),"N/A",IF('2024_Draft_team'!$H19=TRUE,'2024_Draft_team'!$I19-4,'2024_Draft_team'!$I19-0))</f>
        <v>14</v>
      </c>
      <c r="K19" s="22" t="s">
        <v>253</v>
      </c>
      <c r="L19" s="22" t="s">
        <v>290</v>
      </c>
      <c r="M19" s="22" t="s">
        <v>55</v>
      </c>
      <c r="N19" s="22" t="s">
        <v>32</v>
      </c>
      <c r="O19" s="22" t="s">
        <v>90</v>
      </c>
      <c r="P19" s="22" t="s">
        <v>890</v>
      </c>
      <c r="Q19" s="22" t="str">
        <f>'2024_Draft_team'!$K19&amp;'2024_Draft_team'!$L19</f>
        <v>HarrisonButker</v>
      </c>
      <c r="R19" s="22" t="b">
        <f t="array" ref="R19">IFERROR((INDEX('2024_Transactions'!$J$2:$J$339,MATCH(1,('2024_Draft_team'!$Q19='2024_Transactions'!$C$2:$C$339)*('2024_Draft_team'!$B19='2024_Transactions'!$B$2:$B$339)*('2024_Transactions'!$J$2:$J$339="Dropped"),0))="Dropped"),FALSE)</f>
        <v>0</v>
      </c>
    </row>
    <row r="20" ht="14.25" customHeight="1">
      <c r="A20" s="22" t="s">
        <v>946</v>
      </c>
      <c r="B20" s="22" t="s">
        <v>4</v>
      </c>
      <c r="C20" s="22" t="s">
        <v>947</v>
      </c>
      <c r="D20" s="22" t="s">
        <v>897</v>
      </c>
      <c r="E20" s="22" t="s">
        <v>948</v>
      </c>
      <c r="F20" s="22">
        <v>39.0</v>
      </c>
      <c r="G20" s="22">
        <v>0.0</v>
      </c>
      <c r="H20" s="22" t="b">
        <f>(RIGHT('2024_Draft_team'!$C20,8)="(Keeper)")</f>
        <v>1</v>
      </c>
      <c r="I20" s="25" t="str">
        <f>IF(RIGHT(LEFT('2024_Draft_team'!$A20,3))="/",RIGHT(LEFT('2024_Draft_team'!$A20,2),1),RIGHT(LEFT('2024_Draft_team'!$A20,3),2))</f>
        <v>19</v>
      </c>
      <c r="J20" s="26" t="str">
        <f>IF(OR(AND(('2024_Draft_team'!$I20-4)&lt;=0,'2024_Draft_team'!$H20=TRUE),('2024_Draft_team'!$R20=TRUE)),"N/A",IF('2024_Draft_team'!$H20=TRUE,'2024_Draft_team'!$I20-4,'2024_Draft_team'!$I20-0))</f>
        <v>N/A</v>
      </c>
      <c r="K20" s="22" t="s">
        <v>164</v>
      </c>
      <c r="L20" s="22" t="s">
        <v>468</v>
      </c>
      <c r="M20" s="22" t="s">
        <v>39</v>
      </c>
      <c r="N20" s="22" t="s">
        <v>32</v>
      </c>
      <c r="O20" s="22" t="s">
        <v>119</v>
      </c>
      <c r="P20" s="22" t="s">
        <v>890</v>
      </c>
      <c r="Q20" s="22" t="str">
        <f>'2024_Draft_team'!$K20&amp;'2024_Draft_team'!$L20</f>
        <v>KhalilHerbert</v>
      </c>
      <c r="R20" s="22" t="b">
        <f t="array" ref="R20">IFERROR((INDEX('2024_Transactions'!$J$2:$J$339,MATCH(1,('2024_Draft_team'!$Q20='2024_Transactions'!$C$2:$C$339)*('2024_Draft_team'!$B20='2024_Transactions'!$B$2:$B$339)*('2024_Transactions'!$J$2:$J$339="Dropped"),0))="Dropped"),FALSE)</f>
        <v>1</v>
      </c>
    </row>
    <row r="21" ht="14.25" customHeight="1">
      <c r="A21" s="22" t="s">
        <v>949</v>
      </c>
      <c r="B21" s="22" t="s">
        <v>4</v>
      </c>
      <c r="C21" s="22" t="s">
        <v>950</v>
      </c>
      <c r="D21" s="22" t="s">
        <v>897</v>
      </c>
      <c r="E21" s="22" t="s">
        <v>951</v>
      </c>
      <c r="F21" s="22">
        <v>173.0</v>
      </c>
      <c r="G21" s="22">
        <v>0.0</v>
      </c>
      <c r="H21" s="22" t="b">
        <f>(RIGHT('2024_Draft_team'!$C21,8)="(Keeper)")</f>
        <v>1</v>
      </c>
      <c r="I21" s="25" t="str">
        <f>IF(RIGHT(LEFT('2024_Draft_team'!$A21,3))="/",RIGHT(LEFT('2024_Draft_team'!$A21,2),1),RIGHT(LEFT('2024_Draft_team'!$A21,3),2))</f>
        <v>20</v>
      </c>
      <c r="J21" s="26">
        <f>IF(OR(AND(('2024_Draft_team'!$I21-4)&lt;=0,'2024_Draft_team'!$H21=TRUE),('2024_Draft_team'!$R21=TRUE)),"N/A",IF('2024_Draft_team'!$H21=TRUE,'2024_Draft_team'!$I21-4,'2024_Draft_team'!$I21-0))</f>
        <v>16</v>
      </c>
      <c r="K21" s="22" t="s">
        <v>278</v>
      </c>
      <c r="L21" s="22" t="s">
        <v>279</v>
      </c>
      <c r="M21" s="22" t="s">
        <v>650</v>
      </c>
      <c r="N21" s="22" t="s">
        <v>32</v>
      </c>
      <c r="O21" s="22" t="s">
        <v>79</v>
      </c>
      <c r="P21" s="22" t="s">
        <v>890</v>
      </c>
      <c r="Q21" s="22" t="str">
        <f>'2024_Draft_team'!$K21&amp;'2024_Draft_team'!$L21</f>
        <v>T.J.Hockenson</v>
      </c>
      <c r="R21" s="22" t="b">
        <f t="array" ref="R21">IFERROR((INDEX('2024_Transactions'!$J$2:$J$339,MATCH(1,('2024_Draft_team'!$Q21='2024_Transactions'!$C$2:$C$339)*('2024_Draft_team'!$B21='2024_Transactions'!$B$2:$B$339)*('2024_Transactions'!$J$2:$J$339="Dropped"),0))="Dropped"),FALSE)</f>
        <v>0</v>
      </c>
    </row>
    <row r="22" ht="14.25" customHeight="1">
      <c r="A22" s="22" t="s">
        <v>952</v>
      </c>
      <c r="B22" s="22" t="s">
        <v>4</v>
      </c>
      <c r="C22" s="22" t="s">
        <v>953</v>
      </c>
      <c r="D22" s="22" t="s">
        <v>897</v>
      </c>
      <c r="E22" s="22" t="s">
        <v>954</v>
      </c>
      <c r="F22" s="22">
        <v>202.0</v>
      </c>
      <c r="G22" s="22">
        <v>47.0</v>
      </c>
      <c r="H22" s="22" t="b">
        <f>(RIGHT('2024_Draft_team'!$C22,8)="(Keeper)")</f>
        <v>1</v>
      </c>
      <c r="I22" s="25" t="str">
        <f>IF(RIGHT(LEFT('2024_Draft_team'!$A22,3))="/",RIGHT(LEFT('2024_Draft_team'!$A22,2),1),RIGHT(LEFT('2024_Draft_team'!$A22,3),2))</f>
        <v>21</v>
      </c>
      <c r="J22" s="26">
        <f>IF(OR(AND(('2024_Draft_team'!$I22-4)&lt;=0,'2024_Draft_team'!$H22=TRUE),('2024_Draft_team'!$R22=TRUE)),"N/A",IF('2024_Draft_team'!$H22=TRUE,'2024_Draft_team'!$I22-4,'2024_Draft_team'!$I22-0))</f>
        <v>17</v>
      </c>
      <c r="K22" s="22" t="s">
        <v>285</v>
      </c>
      <c r="L22" s="22" t="s">
        <v>286</v>
      </c>
      <c r="M22" s="22" t="s">
        <v>604</v>
      </c>
      <c r="N22" s="22" t="s">
        <v>32</v>
      </c>
      <c r="O22" s="22" t="s">
        <v>105</v>
      </c>
      <c r="P22" s="22" t="s">
        <v>890</v>
      </c>
      <c r="Q22" s="22" t="str">
        <f>'2024_Draft_team'!$K22&amp;'2024_Draft_team'!$L22</f>
        <v>KwityPaye</v>
      </c>
      <c r="R22" s="22" t="b">
        <f t="array" ref="R22">IFERROR((INDEX('2024_Transactions'!$J$2:$J$339,MATCH(1,('2024_Draft_team'!$Q22='2024_Transactions'!$C$2:$C$339)*('2024_Draft_team'!$B22='2024_Transactions'!$B$2:$B$339)*('2024_Transactions'!$J$2:$J$339="Dropped"),0))="Dropped"),FALSE)</f>
        <v>0</v>
      </c>
    </row>
    <row r="23" ht="14.25" customHeight="1">
      <c r="A23" s="22" t="s">
        <v>955</v>
      </c>
      <c r="B23" s="22" t="s">
        <v>4</v>
      </c>
      <c r="C23" s="22" t="s">
        <v>956</v>
      </c>
      <c r="D23" s="22" t="s">
        <v>897</v>
      </c>
      <c r="E23" s="22" t="s">
        <v>957</v>
      </c>
      <c r="F23" s="22">
        <v>134.0</v>
      </c>
      <c r="G23" s="22">
        <v>71.0</v>
      </c>
      <c r="H23" s="22" t="b">
        <f>(RIGHT('2024_Draft_team'!$C23,8)="(Keeper)")</f>
        <v>1</v>
      </c>
      <c r="I23" s="25" t="str">
        <f>IF(RIGHT(LEFT('2024_Draft_team'!$A23,3))="/",RIGHT(LEFT('2024_Draft_team'!$A23,2),1),RIGHT(LEFT('2024_Draft_team'!$A23,3),2))</f>
        <v>22</v>
      </c>
      <c r="J23" s="26">
        <f>IF(OR(AND(('2024_Draft_team'!$I23-4)&lt;=0,'2024_Draft_team'!$H23=TRUE),('2024_Draft_team'!$R23=TRUE)),"N/A",IF('2024_Draft_team'!$H23=TRUE,'2024_Draft_team'!$I23-4,'2024_Draft_team'!$I23-0))</f>
        <v>18</v>
      </c>
      <c r="K23" s="22" t="s">
        <v>259</v>
      </c>
      <c r="L23" s="22" t="s">
        <v>260</v>
      </c>
      <c r="M23" s="22" t="s">
        <v>604</v>
      </c>
      <c r="N23" s="22" t="s">
        <v>32</v>
      </c>
      <c r="O23" s="22" t="s">
        <v>54</v>
      </c>
      <c r="P23" s="22" t="s">
        <v>890</v>
      </c>
      <c r="Q23" s="22" t="str">
        <f>'2024_Draft_team'!$K23&amp;'2024_Draft_team'!$L23</f>
        <v>JoeyBosa</v>
      </c>
      <c r="R23" s="22" t="b">
        <f t="array" ref="R23">IFERROR((INDEX('2024_Transactions'!$J$2:$J$339,MATCH(1,('2024_Draft_team'!$Q23='2024_Transactions'!$C$2:$C$339)*('2024_Draft_team'!$B23='2024_Transactions'!$B$2:$B$339)*('2024_Transactions'!$J$2:$J$339="Dropped"),0))="Dropped"),FALSE)</f>
        <v>0</v>
      </c>
    </row>
    <row r="24" ht="14.25" customHeight="1">
      <c r="A24" s="22" t="s">
        <v>958</v>
      </c>
      <c r="B24" s="22" t="s">
        <v>4</v>
      </c>
      <c r="C24" s="22" t="s">
        <v>959</v>
      </c>
      <c r="D24" s="22" t="s">
        <v>897</v>
      </c>
      <c r="E24" s="22" t="s">
        <v>960</v>
      </c>
      <c r="F24" s="22">
        <v>15.0</v>
      </c>
      <c r="G24" s="22">
        <v>0.0</v>
      </c>
      <c r="H24" s="22" t="b">
        <f>(RIGHT('2024_Draft_team'!$C24,8)="(Keeper)")</f>
        <v>1</v>
      </c>
      <c r="I24" s="25" t="str">
        <f>IF(RIGHT(LEFT('2024_Draft_team'!$A24,3))="/",RIGHT(LEFT('2024_Draft_team'!$A24,2),1),RIGHT(LEFT('2024_Draft_team'!$A24,3),2))</f>
        <v>23</v>
      </c>
      <c r="J24" s="26" t="str">
        <f>IF(OR(AND(('2024_Draft_team'!$I24-4)&lt;=0,'2024_Draft_team'!$H24=TRUE),('2024_Draft_team'!$R24=TRUE)),"N/A",IF('2024_Draft_team'!$H24=TRUE,'2024_Draft_team'!$I24-4,'2024_Draft_team'!$I24-0))</f>
        <v>N/A</v>
      </c>
      <c r="K24" s="22" t="s">
        <v>677</v>
      </c>
      <c r="L24" s="22" t="s">
        <v>48</v>
      </c>
      <c r="M24" s="22" t="s">
        <v>573</v>
      </c>
      <c r="N24" s="22" t="s">
        <v>32</v>
      </c>
      <c r="O24" s="22" t="s">
        <v>141</v>
      </c>
      <c r="P24" s="22" t="s">
        <v>890</v>
      </c>
      <c r="Q24" s="22" t="str">
        <f>'2024_Draft_team'!$K24&amp;'2024_Draft_team'!$L24</f>
        <v>JamalAdams</v>
      </c>
      <c r="R24" s="22" t="b">
        <f t="array" ref="R24">IFERROR((INDEX('2024_Transactions'!$J$2:$J$339,MATCH(1,('2024_Draft_team'!$Q24='2024_Transactions'!$C$2:$C$339)*('2024_Draft_team'!$B24='2024_Transactions'!$B$2:$B$339)*('2024_Transactions'!$J$2:$J$339="Dropped"),0))="Dropped"),FALSE)</f>
        <v>1</v>
      </c>
    </row>
    <row r="25" ht="14.25" customHeight="1">
      <c r="A25" s="22" t="s">
        <v>961</v>
      </c>
      <c r="B25" s="22" t="s">
        <v>4</v>
      </c>
      <c r="C25" s="22" t="s">
        <v>962</v>
      </c>
      <c r="D25" s="22" t="s">
        <v>963</v>
      </c>
      <c r="E25" s="22" t="s">
        <v>964</v>
      </c>
      <c r="F25" s="22">
        <v>318.0</v>
      </c>
      <c r="G25" s="22">
        <v>267.0</v>
      </c>
      <c r="H25" s="22" t="b">
        <f>(RIGHT('2024_Draft_team'!$C25,8)="(Keeper)")</f>
        <v>0</v>
      </c>
      <c r="I25" s="25" t="str">
        <f>IF(RIGHT(LEFT('2024_Draft_team'!$A25,3))="/",RIGHT(LEFT('2024_Draft_team'!$A25,2),1),RIGHT(LEFT('2024_Draft_team'!$A25,3),2))</f>
        <v>24</v>
      </c>
      <c r="J25" s="26">
        <f>IF(OR(AND(('2024_Draft_team'!$I25-4)&lt;=0,'2024_Draft_team'!$H25=TRUE),('2024_Draft_team'!$R25=TRUE)),"N/A",IF('2024_Draft_team'!$H25=TRUE,'2024_Draft_team'!$I25-4,'2024_Draft_team'!$I25-0))</f>
        <v>24</v>
      </c>
      <c r="K25" s="22" t="s">
        <v>194</v>
      </c>
      <c r="L25" s="22" t="s">
        <v>267</v>
      </c>
      <c r="M25" s="22" t="s">
        <v>573</v>
      </c>
      <c r="N25" s="22" t="s">
        <v>32</v>
      </c>
      <c r="O25" s="22" t="s">
        <v>90</v>
      </c>
      <c r="P25" s="22"/>
      <c r="Q25" s="22" t="str">
        <f>'2024_Draft_team'!$K25&amp;'2024_Draft_team'!$L25</f>
        <v>JustinReid</v>
      </c>
      <c r="R25" s="22" t="b">
        <f t="array" ref="R25">IFERROR((INDEX('2024_Transactions'!$J$2:$J$339,MATCH(1,('2024_Draft_team'!$Q25='2024_Transactions'!$C$2:$C$339)*('2024_Draft_team'!$B25='2024_Transactions'!$B$2:$B$339)*('2024_Transactions'!$J$2:$J$339="Dropped"),0))="Dropped"),FALSE)</f>
        <v>0</v>
      </c>
    </row>
    <row r="26" ht="14.25" customHeight="1">
      <c r="A26" s="22" t="s">
        <v>965</v>
      </c>
      <c r="B26" s="22" t="s">
        <v>4</v>
      </c>
      <c r="C26" s="22" t="s">
        <v>966</v>
      </c>
      <c r="D26" s="22" t="s">
        <v>897</v>
      </c>
      <c r="E26" s="22" t="s">
        <v>967</v>
      </c>
      <c r="F26" s="22">
        <v>415.0</v>
      </c>
      <c r="G26" s="22">
        <v>188.0</v>
      </c>
      <c r="H26" s="22" t="b">
        <f>(RIGHT('2024_Draft_team'!$C26,8)="(Keeper)")</f>
        <v>1</v>
      </c>
      <c r="I26" s="25" t="str">
        <f>IF(RIGHT(LEFT('2024_Draft_team'!$A26,3))="/",RIGHT(LEFT('2024_Draft_team'!$A26,2),1),RIGHT(LEFT('2024_Draft_team'!$A26,3),2))</f>
        <v>25</v>
      </c>
      <c r="J26" s="26">
        <f>IF(OR(AND(('2024_Draft_team'!$I26-4)&lt;=0,'2024_Draft_team'!$H26=TRUE),('2024_Draft_team'!$R26=TRUE)),"N/A",IF('2024_Draft_team'!$H26=TRUE,'2024_Draft_team'!$I26-4,'2024_Draft_team'!$I26-0))</f>
        <v>21</v>
      </c>
      <c r="K26" s="22" t="s">
        <v>256</v>
      </c>
      <c r="L26" s="22" t="s">
        <v>257</v>
      </c>
      <c r="M26" s="22" t="s">
        <v>567</v>
      </c>
      <c r="N26" s="22" t="s">
        <v>32</v>
      </c>
      <c r="O26" s="22" t="s">
        <v>103</v>
      </c>
      <c r="P26" s="22" t="s">
        <v>890</v>
      </c>
      <c r="Q26" s="22" t="str">
        <f>'2024_Draft_team'!$K26&amp;'2024_Draft_team'!$L26</f>
        <v>CourtlandSutton</v>
      </c>
      <c r="R26" s="22" t="b">
        <f t="array" ref="R26">IFERROR((INDEX('2024_Transactions'!$J$2:$J$339,MATCH(1,('2024_Draft_team'!$Q26='2024_Transactions'!$C$2:$C$339)*('2024_Draft_team'!$B26='2024_Transactions'!$B$2:$B$339)*('2024_Transactions'!$J$2:$J$339="Dropped"),0))="Dropped"),FALSE)</f>
        <v>0</v>
      </c>
    </row>
    <row r="27" ht="14.25" customHeight="1">
      <c r="A27" s="22" t="s">
        <v>968</v>
      </c>
      <c r="B27" s="22" t="s">
        <v>4</v>
      </c>
      <c r="C27" s="22" t="s">
        <v>969</v>
      </c>
      <c r="D27" s="22" t="s">
        <v>970</v>
      </c>
      <c r="E27" s="22" t="s">
        <v>971</v>
      </c>
      <c r="F27" s="22">
        <v>236.0</v>
      </c>
      <c r="G27" s="22">
        <v>202.0</v>
      </c>
      <c r="H27" s="22" t="b">
        <f>(RIGHT('2024_Draft_team'!$C27,8)="(Keeper)")</f>
        <v>0</v>
      </c>
      <c r="I27" s="25" t="str">
        <f>IF(RIGHT(LEFT('2024_Draft_team'!$A27,3))="/",RIGHT(LEFT('2024_Draft_team'!$A27,2),1),RIGHT(LEFT('2024_Draft_team'!$A27,3),2))</f>
        <v>26</v>
      </c>
      <c r="J27" s="26">
        <f>IF(OR(AND(('2024_Draft_team'!$I27-4)&lt;=0,'2024_Draft_team'!$H27=TRUE),('2024_Draft_team'!$R27=TRUE)),"N/A",IF('2024_Draft_team'!$H27=TRUE,'2024_Draft_team'!$I27-4,'2024_Draft_team'!$I27-0))</f>
        <v>26</v>
      </c>
      <c r="K27" s="22" t="s">
        <v>122</v>
      </c>
      <c r="L27" s="22" t="s">
        <v>268</v>
      </c>
      <c r="M27" s="22" t="s">
        <v>573</v>
      </c>
      <c r="N27" s="22" t="s">
        <v>32</v>
      </c>
      <c r="O27" s="22" t="s">
        <v>213</v>
      </c>
      <c r="P27" s="22"/>
      <c r="Q27" s="22" t="str">
        <f>'2024_Draft_team'!$K27&amp;'2024_Draft_team'!$L27</f>
        <v>JalenThompson</v>
      </c>
      <c r="R27" s="22" t="b">
        <f t="array" ref="R27">IFERROR((INDEX('2024_Transactions'!$J$2:$J$339,MATCH(1,('2024_Draft_team'!$Q27='2024_Transactions'!$C$2:$C$339)*('2024_Draft_team'!$B27='2024_Transactions'!$B$2:$B$339)*('2024_Transactions'!$J$2:$J$339="Dropped"),0))="Dropped"),FALSE)</f>
        <v>0</v>
      </c>
    </row>
    <row r="28" ht="14.25" customHeight="1">
      <c r="A28" s="22" t="s">
        <v>972</v>
      </c>
      <c r="B28" s="22" t="s">
        <v>4</v>
      </c>
      <c r="C28" s="22" t="s">
        <v>973</v>
      </c>
      <c r="D28" s="22" t="s">
        <v>974</v>
      </c>
      <c r="E28" s="22" t="s">
        <v>975</v>
      </c>
      <c r="F28" s="22">
        <v>213.0</v>
      </c>
      <c r="G28" s="22">
        <v>22.0</v>
      </c>
      <c r="H28" s="22" t="b">
        <f>(RIGHT('2024_Draft_team'!$C28,8)="(Keeper)")</f>
        <v>0</v>
      </c>
      <c r="I28" s="25" t="str">
        <f>IF(RIGHT(LEFT('2024_Draft_team'!$A28,3))="/",RIGHT(LEFT('2024_Draft_team'!$A28,2),1),RIGHT(LEFT('2024_Draft_team'!$A28,3),2))</f>
        <v>27</v>
      </c>
      <c r="J28" s="26">
        <f>IF(OR(AND(('2024_Draft_team'!$I28-4)&lt;=0,'2024_Draft_team'!$H28=TRUE),('2024_Draft_team'!$R28=TRUE)),"N/A",IF('2024_Draft_team'!$H28=TRUE,'2024_Draft_team'!$I28-4,'2024_Draft_team'!$I28-0))</f>
        <v>27</v>
      </c>
      <c r="K28" s="22" t="s">
        <v>258</v>
      </c>
      <c r="L28" s="22" t="s">
        <v>656</v>
      </c>
      <c r="M28" s="22" t="s">
        <v>55</v>
      </c>
      <c r="N28" s="22" t="s">
        <v>32</v>
      </c>
      <c r="O28" s="22" t="s">
        <v>37</v>
      </c>
      <c r="P28" s="22"/>
      <c r="Q28" s="22" t="str">
        <f>'2024_Draft_team'!$K28&amp;'2024_Draft_team'!$L28</f>
        <v>JakeMoody</v>
      </c>
      <c r="R28" s="22" t="b">
        <f t="array" ref="R28">IFERROR((INDEX('2024_Transactions'!$J$2:$J$339,MATCH(1,('2024_Draft_team'!$Q28='2024_Transactions'!$C$2:$C$339)*('2024_Draft_team'!$B28='2024_Transactions'!$B$2:$B$339)*('2024_Transactions'!$J$2:$J$339="Dropped"),0))="Dropped"),FALSE)</f>
        <v>0</v>
      </c>
    </row>
    <row r="29" ht="14.25" customHeight="1">
      <c r="A29" s="22" t="s">
        <v>976</v>
      </c>
      <c r="B29" s="22" t="s">
        <v>9</v>
      </c>
      <c r="C29" s="22" t="s">
        <v>977</v>
      </c>
      <c r="D29" s="22" t="s">
        <v>978</v>
      </c>
      <c r="E29" s="22" t="s">
        <v>979</v>
      </c>
      <c r="F29" s="22">
        <v>586.0</v>
      </c>
      <c r="G29" s="22">
        <v>557.0</v>
      </c>
      <c r="H29" s="22" t="b">
        <f>(RIGHT('2024_Draft_team'!$C29,8)="(Keeper)")</f>
        <v>0</v>
      </c>
      <c r="I29" s="25" t="str">
        <f>IF(RIGHT(LEFT('2024_Draft_team'!$A29,3))="/",RIGHT(LEFT('2024_Draft_team'!$A29,2),1),RIGHT(LEFT('2024_Draft_team'!$A29,3),2))</f>
        <v>1</v>
      </c>
      <c r="J29" s="26">
        <f>IF(OR(AND(('2024_Draft_team'!$I29-4)&lt;=0,'2024_Draft_team'!$H29=TRUE),('2024_Draft_team'!$R29=TRUE)),"N/A",IF('2024_Draft_team'!$H29=TRUE,'2024_Draft_team'!$I29-4,'2024_Draft_team'!$I29-0))</f>
        <v>1</v>
      </c>
      <c r="K29" s="22" t="s">
        <v>420</v>
      </c>
      <c r="L29" s="22" t="s">
        <v>297</v>
      </c>
      <c r="M29" s="22" t="s">
        <v>29</v>
      </c>
      <c r="N29" s="22" t="s">
        <v>32</v>
      </c>
      <c r="O29" s="22" t="s">
        <v>66</v>
      </c>
      <c r="P29" s="22"/>
      <c r="Q29" s="22" t="str">
        <f>'2024_Draft_team'!$K29&amp;'2024_Draft_team'!$L29</f>
        <v>CalebWilliams</v>
      </c>
      <c r="R29" s="22" t="b">
        <f t="array" ref="R29">IFERROR((INDEX('2024_Transactions'!$J$2:$J$339,MATCH(1,('2024_Draft_team'!$Q29='2024_Transactions'!$C$2:$C$339)*('2024_Draft_team'!$B29='2024_Transactions'!$B$2:$B$339)*('2024_Transactions'!$J$2:$J$339="Dropped"),0))="Dropped"),FALSE)</f>
        <v>0</v>
      </c>
    </row>
    <row r="30" ht="14.25" customHeight="1">
      <c r="A30" s="22" t="s">
        <v>980</v>
      </c>
      <c r="B30" s="22" t="s">
        <v>9</v>
      </c>
      <c r="C30" s="22" t="s">
        <v>981</v>
      </c>
      <c r="D30" s="22" t="s">
        <v>897</v>
      </c>
      <c r="E30" s="22" t="s">
        <v>982</v>
      </c>
      <c r="F30" s="22">
        <v>763.0</v>
      </c>
      <c r="G30" s="22">
        <v>598.0</v>
      </c>
      <c r="H30" s="22" t="b">
        <f>(RIGHT('2024_Draft_team'!$C30,8)="(Keeper)")</f>
        <v>1</v>
      </c>
      <c r="I30" s="25" t="str">
        <f>IF(RIGHT(LEFT('2024_Draft_team'!$A30,3))="/",RIGHT(LEFT('2024_Draft_team'!$A30,2),1),RIGHT(LEFT('2024_Draft_team'!$A30,3),2))</f>
        <v>2</v>
      </c>
      <c r="J30" s="26" t="str">
        <f>IF(OR(AND(('2024_Draft_team'!$I30-4)&lt;=0,'2024_Draft_team'!$H30=TRUE),('2024_Draft_team'!$R30=TRUE)),"N/A",IF('2024_Draft_team'!$H30=TRUE,'2024_Draft_team'!$I30-4,'2024_Draft_team'!$I30-0))</f>
        <v>N/A</v>
      </c>
      <c r="K30" s="22" t="s">
        <v>421</v>
      </c>
      <c r="L30" s="22" t="s">
        <v>422</v>
      </c>
      <c r="M30" s="22" t="s">
        <v>39</v>
      </c>
      <c r="N30" s="22" t="s">
        <v>32</v>
      </c>
      <c r="O30" s="22" t="s">
        <v>124</v>
      </c>
      <c r="P30" s="22" t="s">
        <v>890</v>
      </c>
      <c r="Q30" s="22" t="str">
        <f>'2024_Draft_team'!$K30&amp;'2024_Draft_team'!$L30</f>
        <v>SaquonBarkley</v>
      </c>
      <c r="R30" s="22" t="b">
        <f t="array" ref="R30">IFERROR((INDEX('2024_Transactions'!$J$2:$J$339,MATCH(1,('2024_Draft_team'!$Q30='2024_Transactions'!$C$2:$C$339)*('2024_Draft_team'!$B30='2024_Transactions'!$B$2:$B$339)*('2024_Transactions'!$J$2:$J$339="Dropped"),0))="Dropped"),FALSE)</f>
        <v>0</v>
      </c>
    </row>
    <row r="31" ht="14.25" customHeight="1">
      <c r="A31" s="22" t="s">
        <v>983</v>
      </c>
      <c r="B31" s="22" t="s">
        <v>9</v>
      </c>
      <c r="C31" s="22" t="s">
        <v>984</v>
      </c>
      <c r="D31" s="22" t="s">
        <v>985</v>
      </c>
      <c r="E31" s="22" t="s">
        <v>986</v>
      </c>
      <c r="F31" s="22">
        <v>322.0</v>
      </c>
      <c r="G31" s="22">
        <v>212.0</v>
      </c>
      <c r="H31" s="22" t="b">
        <f>(RIGHT('2024_Draft_team'!$C31,8)="(Keeper)")</f>
        <v>0</v>
      </c>
      <c r="I31" s="25" t="str">
        <f>IF(RIGHT(LEFT('2024_Draft_team'!$A31,3))="/",RIGHT(LEFT('2024_Draft_team'!$A31,2),1),RIGHT(LEFT('2024_Draft_team'!$A31,3),2))</f>
        <v>3</v>
      </c>
      <c r="J31" s="26">
        <f>IF(OR(AND(('2024_Draft_team'!$I31-4)&lt;=0,'2024_Draft_team'!$H31=TRUE),('2024_Draft_team'!$R31=TRUE)),"N/A",IF('2024_Draft_team'!$H31=TRUE,'2024_Draft_team'!$I31-4,'2024_Draft_team'!$I31-0))</f>
        <v>3</v>
      </c>
      <c r="K31" s="22" t="s">
        <v>451</v>
      </c>
      <c r="L31" s="22" t="s">
        <v>452</v>
      </c>
      <c r="M31" s="22" t="s">
        <v>573</v>
      </c>
      <c r="N31" s="22" t="s">
        <v>32</v>
      </c>
      <c r="O31" s="22" t="s">
        <v>124</v>
      </c>
      <c r="P31" s="22"/>
      <c r="Q31" s="22" t="str">
        <f>'2024_Draft_team'!$K31&amp;'2024_Draft_team'!$L31</f>
        <v>ReedBlankenship</v>
      </c>
      <c r="R31" s="22" t="b">
        <f t="array" ref="R31">IFERROR((INDEX('2024_Transactions'!$J$2:$J$339,MATCH(1,('2024_Draft_team'!$Q31='2024_Transactions'!$C$2:$C$339)*('2024_Draft_team'!$B31='2024_Transactions'!$B$2:$B$339)*('2024_Transactions'!$J$2:$J$339="Dropped"),0))="Dropped"),FALSE)</f>
        <v>0</v>
      </c>
    </row>
    <row r="32" ht="14.25" customHeight="1">
      <c r="A32" s="22" t="s">
        <v>987</v>
      </c>
      <c r="B32" s="22" t="s">
        <v>9</v>
      </c>
      <c r="C32" s="22" t="s">
        <v>988</v>
      </c>
      <c r="D32" s="22" t="s">
        <v>989</v>
      </c>
      <c r="E32" s="22" t="s">
        <v>990</v>
      </c>
      <c r="F32" s="22">
        <v>278.0</v>
      </c>
      <c r="G32" s="22">
        <v>259.0</v>
      </c>
      <c r="H32" s="22" t="b">
        <f>(RIGHT('2024_Draft_team'!$C32,8)="(Keeper)")</f>
        <v>0</v>
      </c>
      <c r="I32" s="25" t="str">
        <f>IF(RIGHT(LEFT('2024_Draft_team'!$A32,3))="/",RIGHT(LEFT('2024_Draft_team'!$A32,2),1),RIGHT(LEFT('2024_Draft_team'!$A32,3),2))</f>
        <v>4</v>
      </c>
      <c r="J32" s="26">
        <f>IF(OR(AND(('2024_Draft_team'!$I32-4)&lt;=0,'2024_Draft_team'!$H32=TRUE),('2024_Draft_team'!$R32=TRUE)),"N/A",IF('2024_Draft_team'!$H32=TRUE,'2024_Draft_team'!$I32-4,'2024_Draft_team'!$I32-0))</f>
        <v>4</v>
      </c>
      <c r="K32" s="22" t="s">
        <v>434</v>
      </c>
      <c r="L32" s="22" t="s">
        <v>435</v>
      </c>
      <c r="M32" s="22" t="s">
        <v>563</v>
      </c>
      <c r="N32" s="22" t="s">
        <v>32</v>
      </c>
      <c r="O32" s="22" t="s">
        <v>66</v>
      </c>
      <c r="P32" s="22"/>
      <c r="Q32" s="22" t="str">
        <f>'2024_Draft_team'!$K32&amp;'2024_Draft_team'!$L32</f>
        <v>TremaineEdmunds</v>
      </c>
      <c r="R32" s="22" t="b">
        <f t="array" ref="R32">IFERROR((INDEX('2024_Transactions'!$J$2:$J$339,MATCH(1,('2024_Draft_team'!$Q32='2024_Transactions'!$C$2:$C$339)*('2024_Draft_team'!$B32='2024_Transactions'!$B$2:$B$339)*('2024_Transactions'!$J$2:$J$339="Dropped"),0))="Dropped"),FALSE)</f>
        <v>0</v>
      </c>
    </row>
    <row r="33" ht="14.25" customHeight="1">
      <c r="A33" s="22" t="s">
        <v>991</v>
      </c>
      <c r="B33" s="22" t="s">
        <v>9</v>
      </c>
      <c r="C33" s="22" t="s">
        <v>992</v>
      </c>
      <c r="D33" s="22" t="s">
        <v>993</v>
      </c>
      <c r="E33" s="22" t="s">
        <v>994</v>
      </c>
      <c r="F33" s="22">
        <v>388.0</v>
      </c>
      <c r="G33" s="22">
        <v>210.0</v>
      </c>
      <c r="H33" s="22" t="b">
        <f>(RIGHT('2024_Draft_team'!$C33,8)="(Keeper)")</f>
        <v>0</v>
      </c>
      <c r="I33" s="25" t="str">
        <f>IF(RIGHT(LEFT('2024_Draft_team'!$A33,3))="/",RIGHT(LEFT('2024_Draft_team'!$A33,2),1),RIGHT(LEFT('2024_Draft_team'!$A33,3),2))</f>
        <v>5</v>
      </c>
      <c r="J33" s="26">
        <f>IF(OR(AND(('2024_Draft_team'!$I33-4)&lt;=0,'2024_Draft_team'!$H33=TRUE),('2024_Draft_team'!$R33=TRUE)),"N/A",IF('2024_Draft_team'!$H33=TRUE,'2024_Draft_team'!$I33-4,'2024_Draft_team'!$I33-0))</f>
        <v>5</v>
      </c>
      <c r="K33" s="22" t="s">
        <v>306</v>
      </c>
      <c r="L33" s="22" t="s">
        <v>100</v>
      </c>
      <c r="M33" s="22" t="s">
        <v>39</v>
      </c>
      <c r="N33" s="22" t="s">
        <v>32</v>
      </c>
      <c r="O33" s="22" t="s">
        <v>213</v>
      </c>
      <c r="P33" s="22"/>
      <c r="Q33" s="22" t="str">
        <f>'2024_Draft_team'!$K33&amp;'2024_Draft_team'!$L33</f>
        <v>JamesConner</v>
      </c>
      <c r="R33" s="22" t="b">
        <f t="array" ref="R33">IFERROR((INDEX('2024_Transactions'!$J$2:$J$339,MATCH(1,('2024_Draft_team'!$Q33='2024_Transactions'!$C$2:$C$339)*('2024_Draft_team'!$B33='2024_Transactions'!$B$2:$B$339)*('2024_Transactions'!$J$2:$J$339="Dropped"),0))="Dropped"),FALSE)</f>
        <v>0</v>
      </c>
    </row>
    <row r="34" ht="14.25" customHeight="1">
      <c r="A34" s="22" t="s">
        <v>995</v>
      </c>
      <c r="B34" s="22" t="s">
        <v>9</v>
      </c>
      <c r="C34" s="22" t="s">
        <v>996</v>
      </c>
      <c r="D34" s="22" t="s">
        <v>997</v>
      </c>
      <c r="E34" s="22" t="s">
        <v>998</v>
      </c>
      <c r="F34" s="22">
        <v>204.0</v>
      </c>
      <c r="G34" s="22">
        <v>86.0</v>
      </c>
      <c r="H34" s="22" t="b">
        <f>(RIGHT('2024_Draft_team'!$C34,8)="(Keeper)")</f>
        <v>0</v>
      </c>
      <c r="I34" s="25" t="str">
        <f>IF(RIGHT(LEFT('2024_Draft_team'!$A34,3))="/",RIGHT(LEFT('2024_Draft_team'!$A34,2),1),RIGHT(LEFT('2024_Draft_team'!$A34,3),2))</f>
        <v>6</v>
      </c>
      <c r="J34" s="26">
        <f>IF(OR(AND(('2024_Draft_team'!$I34-4)&lt;=0,'2024_Draft_team'!$H34=TRUE),('2024_Draft_team'!$R34=TRUE)),"N/A",IF('2024_Draft_team'!$H34=TRUE,'2024_Draft_team'!$I34-4,'2024_Draft_team'!$I34-0))</f>
        <v>6</v>
      </c>
      <c r="K34" s="22" t="s">
        <v>43</v>
      </c>
      <c r="L34" s="22" t="s">
        <v>436</v>
      </c>
      <c r="M34" s="22" t="s">
        <v>563</v>
      </c>
      <c r="N34" s="22" t="s">
        <v>32</v>
      </c>
      <c r="O34" s="22" t="s">
        <v>148</v>
      </c>
      <c r="P34" s="22"/>
      <c r="Q34" s="22" t="str">
        <f>'2024_Draft_team'!$K34&amp;'2024_Draft_team'!$L34</f>
        <v>JoshHines-Allen</v>
      </c>
      <c r="R34" s="22" t="b">
        <f t="array" ref="R34">IFERROR((INDEX('2024_Transactions'!$J$2:$J$339,MATCH(1,('2024_Draft_team'!$Q34='2024_Transactions'!$C$2:$C$339)*('2024_Draft_team'!$B34='2024_Transactions'!$B$2:$B$339)*('2024_Transactions'!$J$2:$J$339="Dropped"),0))="Dropped"),FALSE)</f>
        <v>0</v>
      </c>
    </row>
    <row r="35" ht="14.25" customHeight="1">
      <c r="A35" s="22" t="s">
        <v>999</v>
      </c>
      <c r="B35" s="22" t="s">
        <v>9</v>
      </c>
      <c r="C35" s="22" t="s">
        <v>1000</v>
      </c>
      <c r="D35" s="22" t="s">
        <v>897</v>
      </c>
      <c r="E35" s="22" t="s">
        <v>1001</v>
      </c>
      <c r="F35" s="22">
        <v>419.0</v>
      </c>
      <c r="G35" s="22">
        <v>204.0</v>
      </c>
      <c r="H35" s="22" t="b">
        <f>(RIGHT('2024_Draft_team'!$C35,8)="(Keeper)")</f>
        <v>1</v>
      </c>
      <c r="I35" s="25" t="str">
        <f>IF(RIGHT(LEFT('2024_Draft_team'!$A35,3))="/",RIGHT(LEFT('2024_Draft_team'!$A35,2),1),RIGHT(LEFT('2024_Draft_team'!$A35,3),2))</f>
        <v>7</v>
      </c>
      <c r="J35" s="26">
        <f>IF(OR(AND(('2024_Draft_team'!$I35-4)&lt;=0,'2024_Draft_team'!$H35=TRUE),('2024_Draft_team'!$R35=TRUE)),"N/A",IF('2024_Draft_team'!$H35=TRUE,'2024_Draft_team'!$I35-4,'2024_Draft_team'!$I35-0))</f>
        <v>3</v>
      </c>
      <c r="K35" s="22" t="s">
        <v>142</v>
      </c>
      <c r="L35" s="22" t="s">
        <v>161</v>
      </c>
      <c r="M35" s="22" t="s">
        <v>39</v>
      </c>
      <c r="N35" s="22" t="s">
        <v>32</v>
      </c>
      <c r="O35" s="22" t="s">
        <v>105</v>
      </c>
      <c r="P35" s="22" t="s">
        <v>890</v>
      </c>
      <c r="Q35" s="22" t="str">
        <f>'2024_Draft_team'!$K35&amp;'2024_Draft_team'!$L35</f>
        <v>JonathanTaylor</v>
      </c>
      <c r="R35" s="22" t="b">
        <f t="array" ref="R35">IFERROR((INDEX('2024_Transactions'!$J$2:$J$339,MATCH(1,('2024_Draft_team'!$Q35='2024_Transactions'!$C$2:$C$339)*('2024_Draft_team'!$B35='2024_Transactions'!$B$2:$B$339)*('2024_Transactions'!$J$2:$J$339="Dropped"),0))="Dropped"),FALSE)</f>
        <v>0</v>
      </c>
    </row>
    <row r="36" ht="14.25" customHeight="1">
      <c r="A36" s="22" t="s">
        <v>1002</v>
      </c>
      <c r="B36" s="22" t="s">
        <v>9</v>
      </c>
      <c r="C36" s="22" t="s">
        <v>1003</v>
      </c>
      <c r="D36" s="22" t="s">
        <v>897</v>
      </c>
      <c r="E36" s="22" t="s">
        <v>1004</v>
      </c>
      <c r="F36" s="22">
        <v>386.0</v>
      </c>
      <c r="G36" s="22">
        <v>184.0</v>
      </c>
      <c r="H36" s="22" t="b">
        <f>(RIGHT('2024_Draft_team'!$C36,8)="(Keeper)")</f>
        <v>1</v>
      </c>
      <c r="I36" s="25" t="str">
        <f>IF(RIGHT(LEFT('2024_Draft_team'!$A36,3))="/",RIGHT(LEFT('2024_Draft_team'!$A36,2),1),RIGHT(LEFT('2024_Draft_team'!$A36,3),2))</f>
        <v>8</v>
      </c>
      <c r="J36" s="26">
        <f>IF(OR(AND(('2024_Draft_team'!$I36-4)&lt;=0,'2024_Draft_team'!$H36=TRUE),('2024_Draft_team'!$R36=TRUE)),"N/A",IF('2024_Draft_team'!$H36=TRUE,'2024_Draft_team'!$I36-4,'2024_Draft_team'!$I36-0))</f>
        <v>4</v>
      </c>
      <c r="K36" s="22" t="s">
        <v>449</v>
      </c>
      <c r="L36" s="22" t="s">
        <v>187</v>
      </c>
      <c r="M36" s="22" t="s">
        <v>567</v>
      </c>
      <c r="N36" s="22" t="s">
        <v>32</v>
      </c>
      <c r="O36" s="22" t="s">
        <v>124</v>
      </c>
      <c r="P36" s="22" t="s">
        <v>890</v>
      </c>
      <c r="Q36" s="22" t="str">
        <f>'2024_Draft_team'!$K36&amp;'2024_Draft_team'!$L36</f>
        <v>DeVontaSmith</v>
      </c>
      <c r="R36" s="22" t="b">
        <f t="array" ref="R36">IFERROR((INDEX('2024_Transactions'!$J$2:$J$339,MATCH(1,('2024_Draft_team'!$Q36='2024_Transactions'!$C$2:$C$339)*('2024_Draft_team'!$B36='2024_Transactions'!$B$2:$B$339)*('2024_Transactions'!$J$2:$J$339="Dropped"),0))="Dropped"),FALSE)</f>
        <v>0</v>
      </c>
    </row>
    <row r="37" ht="14.25" customHeight="1">
      <c r="A37" s="22" t="s">
        <v>1005</v>
      </c>
      <c r="B37" s="22" t="s">
        <v>9</v>
      </c>
      <c r="C37" s="22" t="s">
        <v>1006</v>
      </c>
      <c r="D37" s="22" t="s">
        <v>897</v>
      </c>
      <c r="E37" s="22" t="s">
        <v>1007</v>
      </c>
      <c r="F37" s="22">
        <v>220.0</v>
      </c>
      <c r="G37" s="22">
        <v>187.0</v>
      </c>
      <c r="H37" s="22" t="b">
        <f>(RIGHT('2024_Draft_team'!$C37,8)="(Keeper)")</f>
        <v>1</v>
      </c>
      <c r="I37" s="25" t="str">
        <f>IF(RIGHT(LEFT('2024_Draft_team'!$A37,3))="/",RIGHT(LEFT('2024_Draft_team'!$A37,2),1),RIGHT(LEFT('2024_Draft_team'!$A37,3),2))</f>
        <v>9</v>
      </c>
      <c r="J37" s="26">
        <f>IF(OR(AND(('2024_Draft_team'!$I37-4)&lt;=0,'2024_Draft_team'!$H37=TRUE),('2024_Draft_team'!$R37=TRUE)),"N/A",IF('2024_Draft_team'!$H37=TRUE,'2024_Draft_team'!$I37-4,'2024_Draft_team'!$I37-0))</f>
        <v>5</v>
      </c>
      <c r="K37" s="22" t="s">
        <v>453</v>
      </c>
      <c r="L37" s="22" t="s">
        <v>454</v>
      </c>
      <c r="M37" s="22" t="s">
        <v>604</v>
      </c>
      <c r="N37" s="22" t="s">
        <v>32</v>
      </c>
      <c r="O37" s="22" t="s">
        <v>76</v>
      </c>
      <c r="P37" s="22" t="s">
        <v>890</v>
      </c>
      <c r="Q37" s="22" t="str">
        <f>'2024_Draft_team'!$K37&amp;'2024_Draft_team'!$L37</f>
        <v>MaxxCrosby</v>
      </c>
      <c r="R37" s="22" t="b">
        <f t="array" ref="R37">IFERROR((INDEX('2024_Transactions'!$J$2:$J$339,MATCH(1,('2024_Draft_team'!$Q37='2024_Transactions'!$C$2:$C$339)*('2024_Draft_team'!$B37='2024_Transactions'!$B$2:$B$339)*('2024_Transactions'!$J$2:$J$339="Dropped"),0))="Dropped"),FALSE)</f>
        <v>0</v>
      </c>
    </row>
    <row r="38" ht="14.25" customHeight="1">
      <c r="A38" s="22" t="s">
        <v>1008</v>
      </c>
      <c r="B38" s="22" t="s">
        <v>9</v>
      </c>
      <c r="C38" s="22" t="s">
        <v>1009</v>
      </c>
      <c r="D38" s="22" t="s">
        <v>1010</v>
      </c>
      <c r="E38" s="22" t="s">
        <v>1011</v>
      </c>
      <c r="F38" s="22">
        <v>199.0</v>
      </c>
      <c r="G38" s="22">
        <v>118.0</v>
      </c>
      <c r="H38" s="22" t="b">
        <f>(RIGHT('2024_Draft_team'!$C38,8)="(Keeper)")</f>
        <v>0</v>
      </c>
      <c r="I38" s="25" t="str">
        <f>IF(RIGHT(LEFT('2024_Draft_team'!$A38,3))="/",RIGHT(LEFT('2024_Draft_team'!$A38,2),1),RIGHT(LEFT('2024_Draft_team'!$A38,3),2))</f>
        <v>10</v>
      </c>
      <c r="J38" s="26">
        <f>IF(OR(AND(('2024_Draft_team'!$I38-4)&lt;=0,'2024_Draft_team'!$H38=TRUE),('2024_Draft_team'!$R38=TRUE)),"N/A",IF('2024_Draft_team'!$H38=TRUE,'2024_Draft_team'!$I38-4,'2024_Draft_team'!$I38-0))</f>
        <v>10</v>
      </c>
      <c r="K38" s="22" t="s">
        <v>462</v>
      </c>
      <c r="L38" s="22" t="s">
        <v>463</v>
      </c>
      <c r="M38" s="22" t="s">
        <v>567</v>
      </c>
      <c r="N38" s="22" t="s">
        <v>32</v>
      </c>
      <c r="O38" s="22" t="s">
        <v>172</v>
      </c>
      <c r="P38" s="22"/>
      <c r="Q38" s="22" t="str">
        <f>'2024_Draft_team'!$K38&amp;'2024_Draft_team'!$L38</f>
        <v>StefonDiggs</v>
      </c>
      <c r="R38" s="22" t="b">
        <f t="array" ref="R38">IFERROR((INDEX('2024_Transactions'!$J$2:$J$339,MATCH(1,('2024_Draft_team'!$Q38='2024_Transactions'!$C$2:$C$339)*('2024_Draft_team'!$B38='2024_Transactions'!$B$2:$B$339)*('2024_Transactions'!$J$2:$J$339="Dropped"),0))="Dropped"),FALSE)</f>
        <v>0</v>
      </c>
    </row>
    <row r="39" ht="14.25" customHeight="1">
      <c r="A39" s="22" t="s">
        <v>1012</v>
      </c>
      <c r="B39" s="22" t="s">
        <v>9</v>
      </c>
      <c r="C39" s="22" t="s">
        <v>1013</v>
      </c>
      <c r="D39" s="22" t="s">
        <v>897</v>
      </c>
      <c r="E39" s="22" t="s">
        <v>1014</v>
      </c>
      <c r="F39" s="22">
        <v>306.0</v>
      </c>
      <c r="G39" s="22">
        <v>224.0</v>
      </c>
      <c r="H39" s="22" t="b">
        <f>(RIGHT('2024_Draft_team'!$C39,8)="(Keeper)")</f>
        <v>1</v>
      </c>
      <c r="I39" s="25" t="str">
        <f>IF(RIGHT(LEFT('2024_Draft_team'!$A39,3))="/",RIGHT(LEFT('2024_Draft_team'!$A39,2),1),RIGHT(LEFT('2024_Draft_team'!$A39,3),2))</f>
        <v>11</v>
      </c>
      <c r="J39" s="26">
        <f>IF(OR(AND(('2024_Draft_team'!$I39-4)&lt;=0,'2024_Draft_team'!$H39=TRUE),('2024_Draft_team'!$R39=TRUE)),"N/A",IF('2024_Draft_team'!$H39=TRUE,'2024_Draft_team'!$I39-4,'2024_Draft_team'!$I39-0))</f>
        <v>7</v>
      </c>
      <c r="K39" s="22" t="s">
        <v>430</v>
      </c>
      <c r="L39" s="22" t="s">
        <v>431</v>
      </c>
      <c r="M39" s="22" t="s">
        <v>131</v>
      </c>
      <c r="N39" s="22" t="s">
        <v>604</v>
      </c>
      <c r="O39" s="22" t="s">
        <v>32</v>
      </c>
      <c r="P39" s="22" t="s">
        <v>172</v>
      </c>
      <c r="Q39" s="22" t="str">
        <f>'2024_Draft_team'!$K39&amp;'2024_Draft_team'!$L39&amp;'2024_Draft_team'!$M39</f>
        <v>WillAndersonJr.</v>
      </c>
      <c r="R39" s="22" t="b">
        <f t="array" ref="R39">IFERROR((INDEX('2024_Transactions'!$J$2:$J$339,MATCH(1,('2024_Draft_team'!$Q39='2024_Transactions'!$C$2:$C$339)*('2024_Draft_team'!$B39='2024_Transactions'!$B$2:$B$339)*('2024_Transactions'!$J$2:$J$339="Dropped"),0))="Dropped"),FALSE)</f>
        <v>0</v>
      </c>
    </row>
    <row r="40" ht="14.25" customHeight="1">
      <c r="A40" s="22" t="s">
        <v>1015</v>
      </c>
      <c r="B40" s="22" t="s">
        <v>9</v>
      </c>
      <c r="C40" s="22" t="s">
        <v>1016</v>
      </c>
      <c r="D40" s="22" t="s">
        <v>1017</v>
      </c>
      <c r="E40" s="22" t="s">
        <v>1018</v>
      </c>
      <c r="F40" s="22">
        <v>98.0</v>
      </c>
      <c r="G40" s="22">
        <v>98.0</v>
      </c>
      <c r="H40" s="22" t="b">
        <f>(RIGHT('2024_Draft_team'!$C40,8)="(Keeper)")</f>
        <v>0</v>
      </c>
      <c r="I40" s="25" t="str">
        <f>IF(RIGHT(LEFT('2024_Draft_team'!$A40,3))="/",RIGHT(LEFT('2024_Draft_team'!$A40,2),1),RIGHT(LEFT('2024_Draft_team'!$A40,3),2))</f>
        <v>12</v>
      </c>
      <c r="J40" s="26">
        <f>IF(OR(AND(('2024_Draft_team'!$I40-4)&lt;=0,'2024_Draft_team'!$H40=TRUE),('2024_Draft_team'!$R40=TRUE)),"N/A",IF('2024_Draft_team'!$H40=TRUE,'2024_Draft_team'!$I40-4,'2024_Draft_team'!$I40-0))</f>
        <v>12</v>
      </c>
      <c r="K40" s="22" t="s">
        <v>464</v>
      </c>
      <c r="L40" s="22" t="s">
        <v>465</v>
      </c>
      <c r="M40" s="22" t="s">
        <v>567</v>
      </c>
      <c r="N40" s="22" t="s">
        <v>32</v>
      </c>
      <c r="O40" s="22" t="s">
        <v>90</v>
      </c>
      <c r="P40" s="22"/>
      <c r="Q40" s="22" t="str">
        <f>'2024_Draft_team'!$K40&amp;'2024_Draft_team'!$L40</f>
        <v>RasheeRice</v>
      </c>
      <c r="R40" s="22" t="b">
        <f t="array" ref="R40">IFERROR((INDEX('2024_Transactions'!$J$2:$J$339,MATCH(1,('2024_Draft_team'!$Q40='2024_Transactions'!$C$2:$C$339)*('2024_Draft_team'!$B40='2024_Transactions'!$B$2:$B$339)*('2024_Transactions'!$J$2:$J$339="Dropped"),0))="Dropped"),FALSE)</f>
        <v>0</v>
      </c>
    </row>
    <row r="41" ht="14.25" customHeight="1">
      <c r="A41" s="22" t="s">
        <v>1019</v>
      </c>
      <c r="B41" s="22" t="s">
        <v>9</v>
      </c>
      <c r="C41" s="22" t="s">
        <v>1020</v>
      </c>
      <c r="D41" s="22" t="s">
        <v>1021</v>
      </c>
      <c r="E41" s="22" t="s">
        <v>1022</v>
      </c>
      <c r="F41" s="22">
        <v>232.0</v>
      </c>
      <c r="G41" s="22">
        <v>106.0</v>
      </c>
      <c r="H41" s="22" t="b">
        <f>(RIGHT('2024_Draft_team'!$C41,8)="(Keeper)")</f>
        <v>0</v>
      </c>
      <c r="I41" s="25" t="str">
        <f>IF(RIGHT(LEFT('2024_Draft_team'!$A41,3))="/",RIGHT(LEFT('2024_Draft_team'!$A41,2),1),RIGHT(LEFT('2024_Draft_team'!$A41,3),2))</f>
        <v>13</v>
      </c>
      <c r="J41" s="26">
        <f>IF(OR(AND(('2024_Draft_team'!$I41-4)&lt;=0,'2024_Draft_team'!$H41=TRUE),('2024_Draft_team'!$R41=TRUE)),"N/A",IF('2024_Draft_team'!$H41=TRUE,'2024_Draft_team'!$I41-4,'2024_Draft_team'!$I41-0))</f>
        <v>13</v>
      </c>
      <c r="K41" s="22" t="s">
        <v>446</v>
      </c>
      <c r="L41" s="22" t="s">
        <v>447</v>
      </c>
      <c r="M41" s="22" t="s">
        <v>567</v>
      </c>
      <c r="N41" s="22" t="s">
        <v>32</v>
      </c>
      <c r="O41" s="22" t="s">
        <v>172</v>
      </c>
      <c r="P41" s="22"/>
      <c r="Q41" s="22" t="str">
        <f>'2024_Draft_team'!$K41&amp;'2024_Draft_team'!$L41</f>
        <v>TankDell</v>
      </c>
      <c r="R41" s="22" t="b">
        <f t="array" ref="R41">IFERROR((INDEX('2024_Transactions'!$J$2:$J$339,MATCH(1,('2024_Draft_team'!$Q41='2024_Transactions'!$C$2:$C$339)*('2024_Draft_team'!$B41='2024_Transactions'!$B$2:$B$339)*('2024_Transactions'!$J$2:$J$339="Dropped"),0))="Dropped"),FALSE)</f>
        <v>0</v>
      </c>
    </row>
    <row r="42" ht="14.25" customHeight="1">
      <c r="A42" s="22" t="s">
        <v>1023</v>
      </c>
      <c r="B42" s="22" t="s">
        <v>9</v>
      </c>
      <c r="C42" s="22" t="s">
        <v>1024</v>
      </c>
      <c r="D42" s="22" t="s">
        <v>1025</v>
      </c>
      <c r="E42" s="22" t="s">
        <v>1026</v>
      </c>
      <c r="F42" s="22">
        <v>380.0</v>
      </c>
      <c r="G42" s="22">
        <v>268.0</v>
      </c>
      <c r="H42" s="22" t="b">
        <f>(RIGHT('2024_Draft_team'!$C42,8)="(Keeper)")</f>
        <v>0</v>
      </c>
      <c r="I42" s="25" t="str">
        <f>IF(RIGHT(LEFT('2024_Draft_team'!$A42,3))="/",RIGHT(LEFT('2024_Draft_team'!$A42,2),1),RIGHT(LEFT('2024_Draft_team'!$A42,3),2))</f>
        <v>14</v>
      </c>
      <c r="J42" s="26">
        <f>IF(OR(AND(('2024_Draft_team'!$I42-4)&lt;=0,'2024_Draft_team'!$H42=TRUE),('2024_Draft_team'!$R42=TRUE)),"N/A",IF('2024_Draft_team'!$H42=TRUE,'2024_Draft_team'!$I42-4,'2024_Draft_team'!$I42-0))</f>
        <v>14</v>
      </c>
      <c r="K42" s="22" t="s">
        <v>432</v>
      </c>
      <c r="L42" s="22" t="s">
        <v>433</v>
      </c>
      <c r="M42" s="22" t="s">
        <v>563</v>
      </c>
      <c r="N42" s="22" t="s">
        <v>32</v>
      </c>
      <c r="O42" s="22" t="s">
        <v>124</v>
      </c>
      <c r="P42" s="22"/>
      <c r="Q42" s="22" t="str">
        <f>'2024_Draft_team'!$K42&amp;'2024_Draft_team'!$L42</f>
        <v>NakobeDean</v>
      </c>
      <c r="R42" s="22" t="b">
        <f t="array" ref="R42">IFERROR((INDEX('2024_Transactions'!$J$2:$J$339,MATCH(1,('2024_Draft_team'!$Q42='2024_Transactions'!$C$2:$C$339)*('2024_Draft_team'!$B42='2024_Transactions'!$B$2:$B$339)*('2024_Transactions'!$J$2:$J$339="Dropped"),0))="Dropped"),FALSE)</f>
        <v>0</v>
      </c>
    </row>
    <row r="43" ht="14.25" customHeight="1">
      <c r="A43" s="22" t="s">
        <v>1027</v>
      </c>
      <c r="B43" s="22" t="s">
        <v>9</v>
      </c>
      <c r="C43" s="22" t="s">
        <v>1028</v>
      </c>
      <c r="D43" s="22" t="s">
        <v>1029</v>
      </c>
      <c r="E43" s="22" t="s">
        <v>1030</v>
      </c>
      <c r="F43" s="22">
        <v>164.0</v>
      </c>
      <c r="G43" s="22">
        <v>59.0</v>
      </c>
      <c r="H43" s="22" t="b">
        <f>(RIGHT('2024_Draft_team'!$C43,8)="(Keeper)")</f>
        <v>0</v>
      </c>
      <c r="I43" s="25" t="str">
        <f>IF(RIGHT(LEFT('2024_Draft_team'!$A43,3))="/",RIGHT(LEFT('2024_Draft_team'!$A43,2),1),RIGHT(LEFT('2024_Draft_team'!$A43,3),2))</f>
        <v>15</v>
      </c>
      <c r="J43" s="26">
        <f>IF(OR(AND(('2024_Draft_team'!$I43-4)&lt;=0,'2024_Draft_team'!$H43=TRUE),('2024_Draft_team'!$R43=TRUE)),"N/A",IF('2024_Draft_team'!$H43=TRUE,'2024_Draft_team'!$I43-4,'2024_Draft_team'!$I43-0))</f>
        <v>15</v>
      </c>
      <c r="K43" s="22" t="s">
        <v>450</v>
      </c>
      <c r="L43" s="22" t="s">
        <v>247</v>
      </c>
      <c r="M43" s="22" t="s">
        <v>563</v>
      </c>
      <c r="N43" s="22" t="s">
        <v>32</v>
      </c>
      <c r="O43" s="22" t="s">
        <v>71</v>
      </c>
      <c r="P43" s="22"/>
      <c r="Q43" s="22" t="str">
        <f>'2024_Draft_team'!$K43&amp;'2024_Draft_team'!$L43</f>
        <v>JeromeBaker</v>
      </c>
      <c r="R43" s="22" t="b">
        <f t="array" ref="R43">IFERROR((INDEX('2024_Transactions'!$J$2:$J$339,MATCH(1,('2024_Draft_team'!$Q43='2024_Transactions'!$C$2:$C$339)*('2024_Draft_team'!$B43='2024_Transactions'!$B$2:$B$339)*('2024_Transactions'!$J$2:$J$339="Dropped"),0))="Dropped"),FALSE)</f>
        <v>0</v>
      </c>
    </row>
    <row r="44" ht="14.25" customHeight="1">
      <c r="A44" s="22" t="s">
        <v>1031</v>
      </c>
      <c r="B44" s="22" t="s">
        <v>9</v>
      </c>
      <c r="C44" s="22" t="s">
        <v>1032</v>
      </c>
      <c r="D44" s="22" t="s">
        <v>1033</v>
      </c>
      <c r="E44" s="22" t="s">
        <v>1034</v>
      </c>
      <c r="F44" s="22">
        <v>291.0</v>
      </c>
      <c r="G44" s="22">
        <v>206.0</v>
      </c>
      <c r="H44" s="22" t="b">
        <f>(RIGHT('2024_Draft_team'!$C44,8)="(Keeper)")</f>
        <v>0</v>
      </c>
      <c r="I44" s="25" t="str">
        <f>IF(RIGHT(LEFT('2024_Draft_team'!$A44,3))="/",RIGHT(LEFT('2024_Draft_team'!$A44,2),1),RIGHT(LEFT('2024_Draft_team'!$A44,3),2))</f>
        <v>16</v>
      </c>
      <c r="J44" s="26">
        <f>IF(OR(AND(('2024_Draft_team'!$I44-4)&lt;=0,'2024_Draft_team'!$H44=TRUE),('2024_Draft_team'!$R44=TRUE)),"N/A",IF('2024_Draft_team'!$H44=TRUE,'2024_Draft_team'!$I44-4,'2024_Draft_team'!$I44-0))</f>
        <v>16</v>
      </c>
      <c r="K44" s="22" t="s">
        <v>441</v>
      </c>
      <c r="L44" s="22" t="s">
        <v>297</v>
      </c>
      <c r="M44" s="22" t="s">
        <v>563</v>
      </c>
      <c r="N44" s="22" t="s">
        <v>32</v>
      </c>
      <c r="O44" s="22" t="s">
        <v>93</v>
      </c>
      <c r="P44" s="22"/>
      <c r="Q44" s="22" t="str">
        <f>'2024_Draft_team'!$K44&amp;'2024_Draft_team'!$L44</f>
        <v>DorianWilliams</v>
      </c>
      <c r="R44" s="22" t="b">
        <f t="array" ref="R44">IFERROR((INDEX('2024_Transactions'!$J$2:$J$339,MATCH(1,('2024_Draft_team'!$Q44='2024_Transactions'!$C$2:$C$339)*('2024_Draft_team'!$B44='2024_Transactions'!$B$2:$B$339)*('2024_Transactions'!$J$2:$J$339="Dropped"),0))="Dropped"),FALSE)</f>
        <v>0</v>
      </c>
    </row>
    <row r="45" ht="14.25" customHeight="1">
      <c r="A45" s="22" t="s">
        <v>1035</v>
      </c>
      <c r="B45" s="22" t="s">
        <v>9</v>
      </c>
      <c r="C45" s="22" t="s">
        <v>1036</v>
      </c>
      <c r="D45" s="22" t="s">
        <v>897</v>
      </c>
      <c r="E45" s="22" t="s">
        <v>1037</v>
      </c>
      <c r="F45" s="22">
        <v>149.0</v>
      </c>
      <c r="G45" s="22">
        <v>80.0</v>
      </c>
      <c r="H45" s="22" t="b">
        <f>(RIGHT('2024_Draft_team'!$C45,8)="(Keeper)")</f>
        <v>1</v>
      </c>
      <c r="I45" s="25" t="str">
        <f>IF(RIGHT(LEFT('2024_Draft_team'!$A45,3))="/",RIGHT(LEFT('2024_Draft_team'!$A45,2),1),RIGHT(LEFT('2024_Draft_team'!$A45,3),2))</f>
        <v>17</v>
      </c>
      <c r="J45" s="26">
        <f>IF(OR(AND(('2024_Draft_team'!$I45-4)&lt;=0,'2024_Draft_team'!$H45=TRUE),('2024_Draft_team'!$R45=TRUE)),"N/A",IF('2024_Draft_team'!$H45=TRUE,'2024_Draft_team'!$I45-4,'2024_Draft_team'!$I45-0))</f>
        <v>13</v>
      </c>
      <c r="K45" s="22" t="s">
        <v>448</v>
      </c>
      <c r="L45" s="22" t="s">
        <v>266</v>
      </c>
      <c r="M45" s="22" t="s">
        <v>567</v>
      </c>
      <c r="N45" s="22" t="s">
        <v>32</v>
      </c>
      <c r="O45" s="22" t="s">
        <v>179</v>
      </c>
      <c r="P45" s="22" t="s">
        <v>890</v>
      </c>
      <c r="Q45" s="22" t="str">
        <f>'2024_Draft_team'!$K45&amp;'2024_Draft_team'!$L45</f>
        <v>DiontaeJohnson</v>
      </c>
      <c r="R45" s="22" t="b">
        <f t="array" ref="R45">IFERROR((INDEX('2024_Transactions'!$J$2:$J$339,MATCH(1,('2024_Draft_team'!$Q45='2024_Transactions'!$C$2:$C$339)*('2024_Draft_team'!$B45='2024_Transactions'!$B$2:$B$339)*('2024_Transactions'!$J$2:$J$339="Dropped"),0))="Dropped"),FALSE)</f>
        <v>0</v>
      </c>
    </row>
    <row r="46" ht="14.25" customHeight="1">
      <c r="A46" s="22" t="s">
        <v>1038</v>
      </c>
      <c r="B46" s="22" t="s">
        <v>9</v>
      </c>
      <c r="C46" s="22" t="s">
        <v>1039</v>
      </c>
      <c r="D46" s="22" t="s">
        <v>897</v>
      </c>
      <c r="E46" s="22" t="s">
        <v>1040</v>
      </c>
      <c r="F46" s="22">
        <v>14.0</v>
      </c>
      <c r="G46" s="22">
        <v>0.0</v>
      </c>
      <c r="H46" s="22" t="b">
        <f>(RIGHT('2024_Draft_team'!$C46,8)="(Keeper)")</f>
        <v>1</v>
      </c>
      <c r="I46" s="25" t="str">
        <f>IF(RIGHT(LEFT('2024_Draft_team'!$A46,3))="/",RIGHT(LEFT('2024_Draft_team'!$A46,2),1),RIGHT(LEFT('2024_Draft_team'!$A46,3),2))</f>
        <v>18</v>
      </c>
      <c r="J46" s="26">
        <f>IF(OR(AND(('2024_Draft_team'!$I46-4)&lt;=0,'2024_Draft_team'!$H46=TRUE),('2024_Draft_team'!$R46=TRUE)),"N/A",IF('2024_Draft_team'!$H46=TRUE,'2024_Draft_team'!$I46-4,'2024_Draft_team'!$I46-0))</f>
        <v>14</v>
      </c>
      <c r="K46" s="22" t="s">
        <v>466</v>
      </c>
      <c r="L46" s="22" t="s">
        <v>266</v>
      </c>
      <c r="M46" s="22" t="s">
        <v>467</v>
      </c>
      <c r="N46" s="22" t="s">
        <v>604</v>
      </c>
      <c r="O46" s="22" t="s">
        <v>32</v>
      </c>
      <c r="P46" s="22" t="s">
        <v>49</v>
      </c>
      <c r="Q46" s="22" t="str">
        <f>'2024_Draft_team'!$K46&amp;'2024_Draft_team'!$L46&amp;'2024_Draft_team'!$M46</f>
        <v>JermaineJohnsonII</v>
      </c>
      <c r="R46" s="22" t="b">
        <f t="array" ref="R46">IFERROR((INDEX('2024_Transactions'!$J$2:$J$339,MATCH(1,('2024_Draft_team'!$Q46='2024_Transactions'!$C$2:$C$339)*('2024_Draft_team'!$B46='2024_Transactions'!$B$2:$B$339)*('2024_Transactions'!$J$2:$J$339="Dropped"),0))="Dropped"),FALSE)</f>
        <v>0</v>
      </c>
    </row>
    <row r="47" ht="14.25" customHeight="1">
      <c r="A47" s="22" t="s">
        <v>1041</v>
      </c>
      <c r="B47" s="22" t="s">
        <v>9</v>
      </c>
      <c r="C47" s="22" t="s">
        <v>1042</v>
      </c>
      <c r="D47" s="22" t="s">
        <v>1043</v>
      </c>
      <c r="E47" s="22" t="s">
        <v>1044</v>
      </c>
      <c r="F47" s="22">
        <v>82.0</v>
      </c>
      <c r="G47" s="22">
        <v>3.0</v>
      </c>
      <c r="H47" s="22" t="b">
        <f>(RIGHT('2024_Draft_team'!$C47,8)="(Keeper)")</f>
        <v>0</v>
      </c>
      <c r="I47" s="25" t="str">
        <f>IF(RIGHT(LEFT('2024_Draft_team'!$A47,3))="/",RIGHT(LEFT('2024_Draft_team'!$A47,2),1),RIGHT(LEFT('2024_Draft_team'!$A47,3),2))</f>
        <v>19</v>
      </c>
      <c r="J47" s="26">
        <f>IF(OR(AND(('2024_Draft_team'!$I47-4)&lt;=0,'2024_Draft_team'!$H47=TRUE),('2024_Draft_team'!$R47=TRUE)),"N/A",IF('2024_Draft_team'!$H47=TRUE,'2024_Draft_team'!$I47-4,'2024_Draft_team'!$I47-0))</f>
        <v>19</v>
      </c>
      <c r="K47" s="22" t="s">
        <v>455</v>
      </c>
      <c r="L47" s="22" t="s">
        <v>456</v>
      </c>
      <c r="M47" s="22" t="s">
        <v>573</v>
      </c>
      <c r="N47" s="22" t="s">
        <v>32</v>
      </c>
      <c r="O47" s="22" t="s">
        <v>37</v>
      </c>
      <c r="P47" s="22"/>
      <c r="Q47" s="22" t="str">
        <f>'2024_Draft_team'!$K47&amp;'2024_Draft_team'!$L47</f>
        <v>TalanoaHufanga</v>
      </c>
      <c r="R47" s="22" t="b">
        <f t="array" ref="R47">IFERROR((INDEX('2024_Transactions'!$J$2:$J$339,MATCH(1,('2024_Draft_team'!$Q47='2024_Transactions'!$C$2:$C$339)*('2024_Draft_team'!$B47='2024_Transactions'!$B$2:$B$339)*('2024_Transactions'!$J$2:$J$339="Dropped"),0))="Dropped"),FALSE)</f>
        <v>0</v>
      </c>
    </row>
    <row r="48" ht="14.25" customHeight="1">
      <c r="A48" s="22" t="s">
        <v>1045</v>
      </c>
      <c r="B48" s="22" t="s">
        <v>9</v>
      </c>
      <c r="C48" s="22" t="s">
        <v>1046</v>
      </c>
      <c r="D48" s="22" t="s">
        <v>897</v>
      </c>
      <c r="E48" s="22" t="s">
        <v>1047</v>
      </c>
      <c r="F48" s="22">
        <v>388.0</v>
      </c>
      <c r="G48" s="22">
        <v>195.0</v>
      </c>
      <c r="H48" s="22" t="b">
        <f>(RIGHT('2024_Draft_team'!$C48,8)="(Keeper)")</f>
        <v>1</v>
      </c>
      <c r="I48" s="25" t="str">
        <f>IF(RIGHT(LEFT('2024_Draft_team'!$A48,3))="/",RIGHT(LEFT('2024_Draft_team'!$A48,2),1),RIGHT(LEFT('2024_Draft_team'!$A48,3),2))</f>
        <v>20</v>
      </c>
      <c r="J48" s="26">
        <f>IF(OR(AND(('2024_Draft_team'!$I48-4)&lt;=0,'2024_Draft_team'!$H48=TRUE),('2024_Draft_team'!$R48=TRUE)),"N/A",IF('2024_Draft_team'!$H48=TRUE,'2024_Draft_team'!$I48-4,'2024_Draft_team'!$I48-0))</f>
        <v>16</v>
      </c>
      <c r="K48" s="22" t="s">
        <v>427</v>
      </c>
      <c r="L48" s="22" t="s">
        <v>428</v>
      </c>
      <c r="M48" s="22" t="s">
        <v>567</v>
      </c>
      <c r="N48" s="22" t="s">
        <v>32</v>
      </c>
      <c r="O48" s="22" t="s">
        <v>110</v>
      </c>
      <c r="P48" s="22" t="s">
        <v>890</v>
      </c>
      <c r="Q48" s="22" t="str">
        <f>'2024_Draft_team'!$K48&amp;'2024_Draft_team'!$L48</f>
        <v>JaxonSmith-Njigba</v>
      </c>
      <c r="R48" s="22" t="b">
        <f t="array" ref="R48">IFERROR((INDEX('2024_Transactions'!$J$2:$J$339,MATCH(1,('2024_Draft_team'!$Q48='2024_Transactions'!$C$2:$C$339)*('2024_Draft_team'!$B48='2024_Transactions'!$B$2:$B$339)*('2024_Transactions'!$J$2:$J$339="Dropped"),0))="Dropped"),FALSE)</f>
        <v>0</v>
      </c>
    </row>
    <row r="49" ht="14.25" customHeight="1">
      <c r="A49" s="22" t="s">
        <v>1048</v>
      </c>
      <c r="B49" s="22" t="s">
        <v>9</v>
      </c>
      <c r="C49" s="22" t="s">
        <v>1049</v>
      </c>
      <c r="D49" s="22" t="s">
        <v>897</v>
      </c>
      <c r="E49" s="22" t="s">
        <v>1050</v>
      </c>
      <c r="F49" s="22">
        <v>201.0</v>
      </c>
      <c r="G49" s="22">
        <v>62.0</v>
      </c>
      <c r="H49" s="22" t="b">
        <f>(RIGHT('2024_Draft_team'!$C49,8)="(Keeper)")</f>
        <v>1</v>
      </c>
      <c r="I49" s="25" t="str">
        <f>IF(RIGHT(LEFT('2024_Draft_team'!$A49,3))="/",RIGHT(LEFT('2024_Draft_team'!$A49,2),1),RIGHT(LEFT('2024_Draft_team'!$A49,3),2))</f>
        <v>21</v>
      </c>
      <c r="J49" s="26">
        <f>IF(OR(AND(('2024_Draft_team'!$I49-4)&lt;=0,'2024_Draft_team'!$H49=TRUE),('2024_Draft_team'!$R49=TRUE)),"N/A",IF('2024_Draft_team'!$H49=TRUE,'2024_Draft_team'!$I49-4,'2024_Draft_team'!$I49-0))</f>
        <v>17</v>
      </c>
      <c r="K49" s="22" t="s">
        <v>430</v>
      </c>
      <c r="L49" s="22" t="s">
        <v>437</v>
      </c>
      <c r="M49" s="22" t="s">
        <v>438</v>
      </c>
      <c r="N49" s="22" t="s">
        <v>604</v>
      </c>
      <c r="O49" s="22" t="s">
        <v>32</v>
      </c>
      <c r="P49" s="22" t="s">
        <v>49</v>
      </c>
      <c r="Q49" s="22" t="str">
        <f>'2024_Draft_team'!$K49&amp;'2024_Draft_team'!$L49&amp;'2024_Draft_team'!$M49</f>
        <v>WillMcDonaldIV</v>
      </c>
      <c r="R49" s="22" t="b">
        <f t="array" ref="R49">IFERROR((INDEX('2024_Transactions'!$J$2:$J$339,MATCH(1,('2024_Draft_team'!$Q49='2024_Transactions'!$C$2:$C$339)*('2024_Draft_team'!$B49='2024_Transactions'!$B$2:$B$339)*('2024_Transactions'!$J$2:$J$339="Dropped"),0))="Dropped"),FALSE)</f>
        <v>0</v>
      </c>
    </row>
    <row r="50" ht="14.25" customHeight="1">
      <c r="A50" s="22" t="s">
        <v>1051</v>
      </c>
      <c r="B50" s="22" t="s">
        <v>9</v>
      </c>
      <c r="C50" s="22" t="s">
        <v>1052</v>
      </c>
      <c r="D50" s="22" t="s">
        <v>897</v>
      </c>
      <c r="E50" s="22" t="s">
        <v>1053</v>
      </c>
      <c r="F50" s="22">
        <v>418.0</v>
      </c>
      <c r="G50" s="22">
        <v>388.0</v>
      </c>
      <c r="H50" s="22" t="b">
        <f>(RIGHT('2024_Draft_team'!$C50,8)="(Keeper)")</f>
        <v>0</v>
      </c>
      <c r="I50" s="25" t="str">
        <f>IF(RIGHT(LEFT('2024_Draft_team'!$A50,3))="/",RIGHT(LEFT('2024_Draft_team'!$A50,2),1),RIGHT(LEFT('2024_Draft_team'!$A50,3),2))</f>
        <v>22</v>
      </c>
      <c r="J50" s="26">
        <f>IF(OR(AND(('2024_Draft_team'!$I50-4)&lt;=0,'2024_Draft_team'!$H50=TRUE),('2024_Draft_team'!$R50=TRUE)),"N/A",IF('2024_Draft_team'!$H50=TRUE,'2024_Draft_team'!$I50-4,'2024_Draft_team'!$I50-0))</f>
        <v>22</v>
      </c>
      <c r="K50" s="22" t="s">
        <v>101</v>
      </c>
      <c r="L50" s="22" t="s">
        <v>429</v>
      </c>
      <c r="M50" s="22" t="s">
        <v>55</v>
      </c>
      <c r="N50" s="22" t="s">
        <v>32</v>
      </c>
      <c r="O50" s="22" t="s">
        <v>87</v>
      </c>
      <c r="P50" s="22"/>
      <c r="Q50" s="22" t="str">
        <f>'2024_Draft_team'!$K50&amp;'2024_Draft_team'!$L50</f>
        <v>BrandonAubrey</v>
      </c>
      <c r="R50" s="22" t="b">
        <f t="array" ref="R50">IFERROR((INDEX('2024_Transactions'!$J$2:$J$339,MATCH(1,('2024_Draft_team'!$Q50='2024_Transactions'!$C$2:$C$339)*('2024_Draft_team'!$B50='2024_Transactions'!$B$2:$B$339)*('2024_Transactions'!$J$2:$J$339="Dropped"),0))="Dropped"),FALSE)</f>
        <v>0</v>
      </c>
    </row>
    <row r="51" ht="14.25" customHeight="1">
      <c r="A51" s="22" t="s">
        <v>1054</v>
      </c>
      <c r="B51" s="22" t="s">
        <v>9</v>
      </c>
      <c r="C51" s="22" t="s">
        <v>1055</v>
      </c>
      <c r="D51" s="22" t="s">
        <v>897</v>
      </c>
      <c r="E51" s="22" t="s">
        <v>1056</v>
      </c>
      <c r="F51" s="22">
        <v>727.0</v>
      </c>
      <c r="G51" s="22">
        <v>680.0</v>
      </c>
      <c r="H51" s="22" t="b">
        <f>(RIGHT('2024_Draft_team'!$C51,8)="(Keeper)")</f>
        <v>0</v>
      </c>
      <c r="I51" s="25" t="str">
        <f>IF(RIGHT(LEFT('2024_Draft_team'!$A51,3))="/",RIGHT(LEFT('2024_Draft_team'!$A51,2),1),RIGHT(LEFT('2024_Draft_team'!$A51,3),2))</f>
        <v>23</v>
      </c>
      <c r="J51" s="26">
        <f>IF(OR(AND(('2024_Draft_team'!$I51-4)&lt;=0,'2024_Draft_team'!$H51=TRUE),('2024_Draft_team'!$R51=TRUE)),"N/A",IF('2024_Draft_team'!$H51=TRUE,'2024_Draft_team'!$I51-4,'2024_Draft_team'!$I51-0))</f>
        <v>23</v>
      </c>
      <c r="K51" s="22" t="s">
        <v>298</v>
      </c>
      <c r="L51" s="22" t="s">
        <v>419</v>
      </c>
      <c r="M51" s="22" t="s">
        <v>29</v>
      </c>
      <c r="N51" s="22" t="s">
        <v>32</v>
      </c>
      <c r="O51" s="22" t="s">
        <v>79</v>
      </c>
      <c r="P51" s="22"/>
      <c r="Q51" s="22" t="str">
        <f>'2024_Draft_team'!$K51&amp;'2024_Draft_team'!$L51</f>
        <v>SamDarnold</v>
      </c>
      <c r="R51" s="22" t="b">
        <f t="array" ref="R51">IFERROR((INDEX('2024_Transactions'!$J$2:$J$339,MATCH(1,('2024_Draft_team'!$Q51='2024_Transactions'!$C$2:$C$339)*('2024_Draft_team'!$B51='2024_Transactions'!$B$2:$B$339)*('2024_Transactions'!$J$2:$J$339="Dropped"),0))="Dropped"),FALSE)</f>
        <v>0</v>
      </c>
    </row>
    <row r="52" ht="14.25" customHeight="1">
      <c r="A52" s="22" t="s">
        <v>1057</v>
      </c>
      <c r="B52" s="22" t="s">
        <v>9</v>
      </c>
      <c r="C52" s="22" t="s">
        <v>1058</v>
      </c>
      <c r="D52" s="22" t="s">
        <v>897</v>
      </c>
      <c r="E52" s="22" t="s">
        <v>1059</v>
      </c>
      <c r="F52" s="22">
        <v>403.0</v>
      </c>
      <c r="G52" s="22">
        <v>94.0</v>
      </c>
      <c r="H52" s="22" t="b">
        <f>(RIGHT('2024_Draft_team'!$C52,8)="(Keeper)")</f>
        <v>0</v>
      </c>
      <c r="I52" s="25" t="str">
        <f>IF(RIGHT(LEFT('2024_Draft_team'!$A52,3))="/",RIGHT(LEFT('2024_Draft_team'!$A52,2),1),RIGHT(LEFT('2024_Draft_team'!$A52,3),2))</f>
        <v>24</v>
      </c>
      <c r="J52" s="26">
        <f>IF(OR(AND(('2024_Draft_team'!$I52-4)&lt;=0,'2024_Draft_team'!$H52=TRUE),('2024_Draft_team'!$R52=TRUE)),"N/A",IF('2024_Draft_team'!$H52=TRUE,'2024_Draft_team'!$I52-4,'2024_Draft_team'!$I52-0))</f>
        <v>24</v>
      </c>
      <c r="K52" s="22" t="s">
        <v>442</v>
      </c>
      <c r="L52" s="22" t="s">
        <v>443</v>
      </c>
      <c r="M52" s="22" t="s">
        <v>29</v>
      </c>
      <c r="N52" s="22" t="s">
        <v>32</v>
      </c>
      <c r="O52" s="22" t="s">
        <v>444</v>
      </c>
      <c r="P52" s="22"/>
      <c r="Q52" s="22" t="str">
        <f>'2024_Draft_team'!$K52&amp;'2024_Draft_team'!$L52</f>
        <v>DrakeMaye</v>
      </c>
      <c r="R52" s="22" t="b">
        <f t="array" ref="R52">IFERROR((INDEX('2024_Transactions'!$J$2:$J$339,MATCH(1,('2024_Draft_team'!$Q52='2024_Transactions'!$C$2:$C$339)*('2024_Draft_team'!$B52='2024_Transactions'!$B$2:$B$339)*('2024_Transactions'!$J$2:$J$339="Dropped"),0))="Dropped"),FALSE)</f>
        <v>0</v>
      </c>
    </row>
    <row r="53" ht="14.25" customHeight="1">
      <c r="A53" s="22" t="s">
        <v>1060</v>
      </c>
      <c r="B53" s="22" t="s">
        <v>9</v>
      </c>
      <c r="C53" s="22" t="s">
        <v>1061</v>
      </c>
      <c r="D53" s="22" t="s">
        <v>897</v>
      </c>
      <c r="E53" s="22" t="s">
        <v>1062</v>
      </c>
      <c r="F53" s="22">
        <v>195.0</v>
      </c>
      <c r="G53" s="22">
        <v>0.0</v>
      </c>
      <c r="H53" s="22" t="b">
        <f>(RIGHT('2024_Draft_team'!$C53,8)="(Keeper)")</f>
        <v>1</v>
      </c>
      <c r="I53" s="25" t="str">
        <f>IF(RIGHT(LEFT('2024_Draft_team'!$A53,3))="/",RIGHT(LEFT('2024_Draft_team'!$A53,2),1),RIGHT(LEFT('2024_Draft_team'!$A53,3),2))</f>
        <v>25</v>
      </c>
      <c r="J53" s="26">
        <f>IF(OR(AND(('2024_Draft_team'!$I53-4)&lt;=0,'2024_Draft_team'!$H53=TRUE),('2024_Draft_team'!$R53=TRUE)),"N/A",IF('2024_Draft_team'!$H53=TRUE,'2024_Draft_team'!$I53-4,'2024_Draft_team'!$I53-0))</f>
        <v>21</v>
      </c>
      <c r="K53" s="22" t="s">
        <v>457</v>
      </c>
      <c r="L53" s="22" t="s">
        <v>458</v>
      </c>
      <c r="M53" s="22" t="s">
        <v>563</v>
      </c>
      <c r="N53" s="22" t="s">
        <v>32</v>
      </c>
      <c r="O53" s="22" t="s">
        <v>63</v>
      </c>
      <c r="P53" s="22" t="s">
        <v>890</v>
      </c>
      <c r="Q53" s="22" t="str">
        <f>'2024_Draft_team'!$K53&amp;'2024_Draft_team'!$L53</f>
        <v>MattJudon</v>
      </c>
      <c r="R53" s="22" t="b">
        <f t="array" ref="R53">IFERROR((INDEX('2024_Transactions'!$J$2:$J$339,MATCH(1,('2024_Draft_team'!$Q53='2024_Transactions'!$C$2:$C$339)*('2024_Draft_team'!$B53='2024_Transactions'!$B$2:$B$339)*('2024_Transactions'!$J$2:$J$339="Dropped"),0))="Dropped"),FALSE)</f>
        <v>0</v>
      </c>
    </row>
    <row r="54" ht="14.25" customHeight="1">
      <c r="A54" s="22" t="s">
        <v>1063</v>
      </c>
      <c r="B54" s="22" t="s">
        <v>9</v>
      </c>
      <c r="C54" s="22" t="s">
        <v>1064</v>
      </c>
      <c r="D54" s="22" t="s">
        <v>897</v>
      </c>
      <c r="E54" s="22" t="s">
        <v>1065</v>
      </c>
      <c r="F54" s="22">
        <v>221.0</v>
      </c>
      <c r="G54" s="22">
        <v>3.0</v>
      </c>
      <c r="H54" s="22" t="b">
        <f>(RIGHT('2024_Draft_team'!$C54,8)="(Keeper)")</f>
        <v>1</v>
      </c>
      <c r="I54" s="25" t="str">
        <f>IF(RIGHT(LEFT('2024_Draft_team'!$A54,3))="/",RIGHT(LEFT('2024_Draft_team'!$A54,2),1),RIGHT(LEFT('2024_Draft_team'!$A54,3),2))</f>
        <v>26</v>
      </c>
      <c r="J54" s="26">
        <f>IF(OR(AND(('2024_Draft_team'!$I54-4)&lt;=0,'2024_Draft_team'!$H54=TRUE),('2024_Draft_team'!$R54=TRUE)),"N/A",IF('2024_Draft_team'!$H54=TRUE,'2024_Draft_team'!$I54-4,'2024_Draft_team'!$I54-0))</f>
        <v>22</v>
      </c>
      <c r="K54" s="22" t="s">
        <v>122</v>
      </c>
      <c r="L54" s="22" t="s">
        <v>1066</v>
      </c>
      <c r="M54" s="22" t="s">
        <v>604</v>
      </c>
      <c r="N54" s="22" t="s">
        <v>32</v>
      </c>
      <c r="O54" s="22" t="s">
        <v>124</v>
      </c>
      <c r="P54" s="22" t="s">
        <v>890</v>
      </c>
      <c r="Q54" s="22" t="str">
        <f>'2024_Draft_team'!$K54&amp;'2024_Draft_team'!$L54</f>
        <v>JalenCarter</v>
      </c>
      <c r="R54" s="22" t="b">
        <f t="array" ref="R54">IFERROR((INDEX('2024_Transactions'!$J$2:$J$339,MATCH(1,('2024_Draft_team'!$Q54='2024_Transactions'!$C$2:$C$339)*('2024_Draft_team'!$B54='2024_Transactions'!$B$2:$B$339)*('2024_Transactions'!$J$2:$J$339="Dropped"),0))="Dropped"),FALSE)</f>
        <v>0</v>
      </c>
    </row>
    <row r="55" ht="14.25" customHeight="1">
      <c r="A55" s="22" t="s">
        <v>1067</v>
      </c>
      <c r="B55" s="22" t="s">
        <v>9</v>
      </c>
      <c r="C55" s="22" t="s">
        <v>1068</v>
      </c>
      <c r="D55" s="22" t="s">
        <v>1069</v>
      </c>
      <c r="E55" s="22" t="s">
        <v>1070</v>
      </c>
      <c r="F55" s="22">
        <v>410.0</v>
      </c>
      <c r="G55" s="22">
        <v>231.0</v>
      </c>
      <c r="H55" s="22" t="b">
        <f>(RIGHT('2024_Draft_team'!$C55,8)="(Keeper)")</f>
        <v>1</v>
      </c>
      <c r="I55" s="25" t="str">
        <f>IF(RIGHT(LEFT('2024_Draft_team'!$A55,3))="/",RIGHT(LEFT('2024_Draft_team'!$A55,2),1),RIGHT(LEFT('2024_Draft_team'!$A55,3),2))</f>
        <v>27</v>
      </c>
      <c r="J55" s="26">
        <f>IF(OR(AND(('2024_Draft_team'!$I55-4)&lt;=0,'2024_Draft_team'!$H55=TRUE),('2024_Draft_team'!$R55=TRUE)),"N/A",IF('2024_Draft_team'!$H55=TRUE,'2024_Draft_team'!$I55-4,'2024_Draft_team'!$I55-0))</f>
        <v>23</v>
      </c>
      <c r="K55" s="22" t="s">
        <v>423</v>
      </c>
      <c r="L55" s="22" t="s">
        <v>424</v>
      </c>
      <c r="M55" s="22" t="s">
        <v>567</v>
      </c>
      <c r="N55" s="22" t="s">
        <v>32</v>
      </c>
      <c r="O55" s="22" t="s">
        <v>238</v>
      </c>
      <c r="P55" s="22" t="s">
        <v>890</v>
      </c>
      <c r="Q55" s="22" t="str">
        <f>'2024_Draft_team'!$K55&amp;'2024_Draft_team'!$L55</f>
        <v>MikeEvans</v>
      </c>
      <c r="R55" s="22" t="b">
        <f t="array" ref="R55">IFERROR((INDEX('2024_Transactions'!$J$2:$J$339,MATCH(1,('2024_Draft_team'!$Q55='2024_Transactions'!$C$2:$C$339)*('2024_Draft_team'!$B55='2024_Transactions'!$B$2:$B$339)*('2024_Transactions'!$J$2:$J$339="Dropped"),0))="Dropped"),FALSE)</f>
        <v>0</v>
      </c>
    </row>
    <row r="56" ht="14.25" customHeight="1">
      <c r="A56" s="22" t="s">
        <v>1071</v>
      </c>
      <c r="B56" s="22" t="s">
        <v>7</v>
      </c>
      <c r="C56" s="22" t="s">
        <v>1072</v>
      </c>
      <c r="D56" s="22" t="s">
        <v>897</v>
      </c>
      <c r="E56" s="22" t="s">
        <v>1073</v>
      </c>
      <c r="F56" s="22">
        <v>775.0</v>
      </c>
      <c r="G56" s="22">
        <v>639.0</v>
      </c>
      <c r="H56" s="22" t="b">
        <f>(RIGHT('2024_Draft_team'!$C56,8)="(Keeper)")</f>
        <v>1</v>
      </c>
      <c r="I56" s="25" t="str">
        <f>IF(RIGHT(LEFT('2024_Draft_team'!$A56,3))="/",RIGHT(LEFT('2024_Draft_team'!$A56,2),1),RIGHT(LEFT('2024_Draft_team'!$A56,3),2))</f>
        <v>1</v>
      </c>
      <c r="J56" s="26" t="str">
        <f>IF(OR(AND(('2024_Draft_team'!$I56-4)&lt;=0,'2024_Draft_team'!$H56=TRUE),('2024_Draft_team'!$R56=TRUE)),"N/A",IF('2024_Draft_team'!$H56=TRUE,'2024_Draft_team'!$I56-4,'2024_Draft_team'!$I56-0))</f>
        <v>N/A</v>
      </c>
      <c r="K56" s="22" t="s">
        <v>160</v>
      </c>
      <c r="L56" s="22" t="s">
        <v>293</v>
      </c>
      <c r="M56" s="22" t="s">
        <v>29</v>
      </c>
      <c r="N56" s="22" t="s">
        <v>32</v>
      </c>
      <c r="O56" s="22" t="s">
        <v>90</v>
      </c>
      <c r="P56" s="22" t="s">
        <v>890</v>
      </c>
      <c r="Q56" s="22" t="str">
        <f>'2024_Draft_team'!$K56&amp;'2024_Draft_team'!$L56</f>
        <v>PatrickMahomes</v>
      </c>
      <c r="R56" s="22" t="b">
        <f t="array" ref="R56">IFERROR((INDEX('2024_Transactions'!$J$2:$J$339,MATCH(1,('2024_Draft_team'!$Q56='2024_Transactions'!$C$2:$C$339)*('2024_Draft_team'!$B56='2024_Transactions'!$B$2:$B$339)*('2024_Transactions'!$J$2:$J$339="Dropped"),0))="Dropped"),FALSE)</f>
        <v>0</v>
      </c>
    </row>
    <row r="57" ht="14.25" customHeight="1">
      <c r="A57" s="22" t="s">
        <v>1074</v>
      </c>
      <c r="B57" s="22" t="s">
        <v>7</v>
      </c>
      <c r="C57" s="22" t="s">
        <v>1075</v>
      </c>
      <c r="D57" s="22" t="s">
        <v>1076</v>
      </c>
      <c r="E57" s="22" t="s">
        <v>1077</v>
      </c>
      <c r="F57" s="22">
        <v>418.0</v>
      </c>
      <c r="G57" s="22">
        <v>418.0</v>
      </c>
      <c r="H57" s="22" t="b">
        <f>(RIGHT('2024_Draft_team'!$C57,8)="(Keeper)")</f>
        <v>0</v>
      </c>
      <c r="I57" s="25" t="str">
        <f>IF(RIGHT(LEFT('2024_Draft_team'!$A57,3))="/",RIGHT(LEFT('2024_Draft_team'!$A57,2),1),RIGHT(LEFT('2024_Draft_team'!$A57,3),2))</f>
        <v>2</v>
      </c>
      <c r="J57" s="26">
        <f>IF(OR(AND(('2024_Draft_team'!$I57-4)&lt;=0,'2024_Draft_team'!$H57=TRUE),('2024_Draft_team'!$R57=TRUE)),"N/A",IF('2024_Draft_team'!$H57=TRUE,'2024_Draft_team'!$I57-4,'2024_Draft_team'!$I57-0))</f>
        <v>2</v>
      </c>
      <c r="K57" s="22" t="s">
        <v>291</v>
      </c>
      <c r="L57" s="22" t="s">
        <v>292</v>
      </c>
      <c r="M57" s="22" t="s">
        <v>29</v>
      </c>
      <c r="N57" s="22" t="s">
        <v>32</v>
      </c>
      <c r="O57" s="22" t="s">
        <v>63</v>
      </c>
      <c r="P57" s="22"/>
      <c r="Q57" s="22" t="str">
        <f>'2024_Draft_team'!$K57&amp;'2024_Draft_team'!$L57</f>
        <v>KirkCousins</v>
      </c>
      <c r="R57" s="22" t="b">
        <f t="array" ref="R57">IFERROR((INDEX('2024_Transactions'!$J$2:$J$339,MATCH(1,('2024_Draft_team'!$Q57='2024_Transactions'!$C$2:$C$339)*('2024_Draft_team'!$B57='2024_Transactions'!$B$2:$B$339)*('2024_Transactions'!$J$2:$J$339="Dropped"),0))="Dropped"),FALSE)</f>
        <v>0</v>
      </c>
    </row>
    <row r="58" ht="14.25" customHeight="1">
      <c r="A58" s="22" t="s">
        <v>1078</v>
      </c>
      <c r="B58" s="22" t="s">
        <v>7</v>
      </c>
      <c r="C58" s="22" t="s">
        <v>1079</v>
      </c>
      <c r="D58" s="22" t="s">
        <v>897</v>
      </c>
      <c r="E58" s="22" t="s">
        <v>1080</v>
      </c>
      <c r="F58" s="22">
        <v>390.0</v>
      </c>
      <c r="G58" s="22">
        <v>282.0</v>
      </c>
      <c r="H58" s="22" t="b">
        <f>(RIGHT('2024_Draft_team'!$C58,8)="(Keeper)")</f>
        <v>1</v>
      </c>
      <c r="I58" s="25" t="str">
        <f>IF(RIGHT(LEFT('2024_Draft_team'!$A58,3))="/",RIGHT(LEFT('2024_Draft_team'!$A58,2),1),RIGHT(LEFT('2024_Draft_team'!$A58,3),2))</f>
        <v>3</v>
      </c>
      <c r="J58" s="26" t="str">
        <f>IF(OR(AND(('2024_Draft_team'!$I58-4)&lt;=0,'2024_Draft_team'!$H58=TRUE),('2024_Draft_team'!$R58=TRUE)),"N/A",IF('2024_Draft_team'!$H58=TRUE,'2024_Draft_team'!$I58-4,'2024_Draft_team'!$I58-0))</f>
        <v>N/A</v>
      </c>
      <c r="K58" s="22" t="s">
        <v>329</v>
      </c>
      <c r="L58" s="22" t="s">
        <v>187</v>
      </c>
      <c r="M58" s="22" t="s">
        <v>563</v>
      </c>
      <c r="N58" s="22" t="s">
        <v>32</v>
      </c>
      <c r="O58" s="22" t="s">
        <v>179</v>
      </c>
      <c r="P58" s="22" t="s">
        <v>890</v>
      </c>
      <c r="Q58" s="22" t="str">
        <f>'2024_Draft_team'!$K58&amp;'2024_Draft_team'!$L58</f>
        <v>RoquanSmith</v>
      </c>
      <c r="R58" s="22" t="b">
        <f t="array" ref="R58">IFERROR((INDEX('2024_Transactions'!$J$2:$J$339,MATCH(1,('2024_Draft_team'!$Q58='2024_Transactions'!$C$2:$C$339)*('2024_Draft_team'!$B58='2024_Transactions'!$B$2:$B$339)*('2024_Transactions'!$J$2:$J$339="Dropped"),0))="Dropped"),FALSE)</f>
        <v>0</v>
      </c>
    </row>
    <row r="59" ht="14.25" customHeight="1">
      <c r="A59" s="22" t="s">
        <v>1081</v>
      </c>
      <c r="B59" s="22" t="s">
        <v>7</v>
      </c>
      <c r="C59" s="22" t="s">
        <v>1082</v>
      </c>
      <c r="D59" s="22" t="s">
        <v>1083</v>
      </c>
      <c r="E59" s="22" t="s">
        <v>1084</v>
      </c>
      <c r="F59" s="22">
        <v>342.0</v>
      </c>
      <c r="G59" s="22">
        <v>308.0</v>
      </c>
      <c r="H59" s="22" t="b">
        <f>(RIGHT('2024_Draft_team'!$C59,8)="(Keeper)")</f>
        <v>0</v>
      </c>
      <c r="I59" s="25" t="str">
        <f>IF(RIGHT(LEFT('2024_Draft_team'!$A59,3))="/",RIGHT(LEFT('2024_Draft_team'!$A59,2),1),RIGHT(LEFT('2024_Draft_team'!$A59,3),2))</f>
        <v>4</v>
      </c>
      <c r="J59" s="26">
        <f>IF(OR(AND(('2024_Draft_team'!$I59-4)&lt;=0,'2024_Draft_team'!$H59=TRUE),('2024_Draft_team'!$R59=TRUE)),"N/A",IF('2024_Draft_team'!$H59=TRUE,'2024_Draft_team'!$I59-4,'2024_Draft_team'!$I59-0))</f>
        <v>4</v>
      </c>
      <c r="K59" s="22" t="s">
        <v>305</v>
      </c>
      <c r="L59" s="22" t="s">
        <v>306</v>
      </c>
      <c r="M59" s="22" t="s">
        <v>573</v>
      </c>
      <c r="N59" s="22" t="s">
        <v>32</v>
      </c>
      <c r="O59" s="22" t="s">
        <v>54</v>
      </c>
      <c r="P59" s="22"/>
      <c r="Q59" s="22" t="str">
        <f>'2024_Draft_team'!$K59&amp;'2024_Draft_team'!$L59</f>
        <v>DerwinJames</v>
      </c>
      <c r="R59" s="22" t="b">
        <f t="array" ref="R59">IFERROR((INDEX('2024_Transactions'!$J$2:$J$339,MATCH(1,('2024_Draft_team'!$Q59='2024_Transactions'!$C$2:$C$339)*('2024_Draft_team'!$B59='2024_Transactions'!$B$2:$B$339)*('2024_Transactions'!$J$2:$J$339="Dropped"),0))="Dropped"),FALSE)</f>
        <v>0</v>
      </c>
    </row>
    <row r="60" ht="14.25" customHeight="1">
      <c r="A60" s="22" t="s">
        <v>1085</v>
      </c>
      <c r="B60" s="22" t="s">
        <v>7</v>
      </c>
      <c r="C60" s="22" t="s">
        <v>1086</v>
      </c>
      <c r="D60" s="22" t="s">
        <v>897</v>
      </c>
      <c r="E60" s="22" t="s">
        <v>1087</v>
      </c>
      <c r="F60" s="22">
        <v>408.0</v>
      </c>
      <c r="G60" s="22">
        <v>293.0</v>
      </c>
      <c r="H60" s="22" t="b">
        <f>(RIGHT('2024_Draft_team'!$C60,8)="(Keeper)")</f>
        <v>1</v>
      </c>
      <c r="I60" s="25" t="str">
        <f>IF(RIGHT(LEFT('2024_Draft_team'!$A60,3))="/",RIGHT(LEFT('2024_Draft_team'!$A60,2),1),RIGHT(LEFT('2024_Draft_team'!$A60,3),2))</f>
        <v>5</v>
      </c>
      <c r="J60" s="26">
        <f>IF(OR(AND(('2024_Draft_team'!$I60-4)&lt;=0,'2024_Draft_team'!$H60=TRUE),('2024_Draft_team'!$R60=TRUE)),"N/A",IF('2024_Draft_team'!$H60=TRUE,'2024_Draft_team'!$I60-4,'2024_Draft_team'!$I60-0))</f>
        <v>1</v>
      </c>
      <c r="K60" s="22" t="s">
        <v>326</v>
      </c>
      <c r="L60" s="22" t="s">
        <v>215</v>
      </c>
      <c r="M60" s="22" t="s">
        <v>567</v>
      </c>
      <c r="N60" s="22" t="s">
        <v>32</v>
      </c>
      <c r="O60" s="22" t="s">
        <v>49</v>
      </c>
      <c r="P60" s="22" t="s">
        <v>890</v>
      </c>
      <c r="Q60" s="22" t="str">
        <f>'2024_Draft_team'!$K60&amp;'2024_Draft_team'!$L60</f>
        <v>GarrettWilson</v>
      </c>
      <c r="R60" s="22" t="b">
        <f t="array" ref="R60">IFERROR((INDEX('2024_Transactions'!$J$2:$J$339,MATCH(1,('2024_Draft_team'!$Q60='2024_Transactions'!$C$2:$C$339)*('2024_Draft_team'!$B60='2024_Transactions'!$B$2:$B$339)*('2024_Transactions'!$J$2:$J$339="Dropped"),0))="Dropped"),FALSE)</f>
        <v>0</v>
      </c>
    </row>
    <row r="61" ht="14.25" customHeight="1">
      <c r="A61" s="22" t="s">
        <v>1088</v>
      </c>
      <c r="B61" s="22" t="s">
        <v>7</v>
      </c>
      <c r="C61" s="22" t="s">
        <v>1089</v>
      </c>
      <c r="D61" s="22" t="s">
        <v>1090</v>
      </c>
      <c r="E61" s="22" t="s">
        <v>1091</v>
      </c>
      <c r="F61" s="22">
        <v>133.0</v>
      </c>
      <c r="G61" s="22">
        <v>133.0</v>
      </c>
      <c r="H61" s="22" t="b">
        <f>(RIGHT('2024_Draft_team'!$C61,8)="(Keeper)")</f>
        <v>0</v>
      </c>
      <c r="I61" s="25" t="str">
        <f>IF(RIGHT(LEFT('2024_Draft_team'!$A61,3))="/",RIGHT(LEFT('2024_Draft_team'!$A61,2),1),RIGHT(LEFT('2024_Draft_team'!$A61,3),2))</f>
        <v>6</v>
      </c>
      <c r="J61" s="26">
        <f>IF(OR(AND(('2024_Draft_team'!$I61-4)&lt;=0,'2024_Draft_team'!$H61=TRUE),('2024_Draft_team'!$R61=TRUE)),"N/A",IF('2024_Draft_team'!$H61=TRUE,'2024_Draft_team'!$I61-4,'2024_Draft_team'!$I61-0))</f>
        <v>6</v>
      </c>
      <c r="K61" s="22" t="s">
        <v>332</v>
      </c>
      <c r="L61" s="22" t="s">
        <v>333</v>
      </c>
      <c r="M61" s="22" t="s">
        <v>604</v>
      </c>
      <c r="N61" s="22" t="s">
        <v>32</v>
      </c>
      <c r="O61" s="22" t="s">
        <v>141</v>
      </c>
      <c r="P61" s="22"/>
      <c r="Q61" s="22" t="str">
        <f>'2024_Draft_team'!$K61&amp;'2024_Draft_team'!$L61</f>
        <v>AidanHutchinson</v>
      </c>
      <c r="R61" s="22" t="b">
        <f t="array" ref="R61">IFERROR((INDEX('2024_Transactions'!$J$2:$J$339,MATCH(1,('2024_Draft_team'!$Q61='2024_Transactions'!$C$2:$C$339)*('2024_Draft_team'!$B61='2024_Transactions'!$B$2:$B$339)*('2024_Transactions'!$J$2:$J$339="Dropped"),0))="Dropped"),FALSE)</f>
        <v>0</v>
      </c>
    </row>
    <row r="62" ht="14.25" customHeight="1">
      <c r="A62" s="22" t="s">
        <v>1092</v>
      </c>
      <c r="B62" s="22" t="s">
        <v>7</v>
      </c>
      <c r="C62" s="22" t="s">
        <v>1093</v>
      </c>
      <c r="D62" s="22" t="s">
        <v>985</v>
      </c>
      <c r="E62" s="22" t="s">
        <v>1094</v>
      </c>
      <c r="F62" s="22">
        <v>282.0</v>
      </c>
      <c r="G62" s="22">
        <v>9.0</v>
      </c>
      <c r="H62" s="22" t="b">
        <f>(RIGHT('2024_Draft_team'!$C62,8)="(Keeper)")</f>
        <v>0</v>
      </c>
      <c r="I62" s="25" t="str">
        <f>IF(RIGHT(LEFT('2024_Draft_team'!$A62,3))="/",RIGHT(LEFT('2024_Draft_team'!$A62,2),1),RIGHT(LEFT('2024_Draft_team'!$A62,3),2))</f>
        <v>7</v>
      </c>
      <c r="J62" s="26" t="str">
        <f>IF(OR(AND(('2024_Draft_team'!$I62-4)&lt;=0,'2024_Draft_team'!$H62=TRUE),('2024_Draft_team'!$R62=TRUE)),"N/A",IF('2024_Draft_team'!$H62=TRUE,'2024_Draft_team'!$I62-4,'2024_Draft_team'!$I62-0))</f>
        <v>N/A</v>
      </c>
      <c r="K62" s="22" t="s">
        <v>499</v>
      </c>
      <c r="L62" s="22" t="s">
        <v>500</v>
      </c>
      <c r="M62" s="22" t="s">
        <v>573</v>
      </c>
      <c r="N62" s="22" t="s">
        <v>32</v>
      </c>
      <c r="O62" s="22" t="s">
        <v>79</v>
      </c>
      <c r="P62" s="22"/>
      <c r="Q62" s="22" t="str">
        <f>'2024_Draft_team'!$K62&amp;'2024_Draft_team'!$L62</f>
        <v>CamrynBynum</v>
      </c>
      <c r="R62" s="22" t="b">
        <f t="array" ref="R62">IFERROR((INDEX('2024_Transactions'!$J$2:$J$339,MATCH(1,('2024_Draft_team'!$Q62='2024_Transactions'!$C$2:$C$339)*('2024_Draft_team'!$B62='2024_Transactions'!$B$2:$B$339)*('2024_Transactions'!$J$2:$J$339="Dropped"),0))="Dropped"),FALSE)</f>
        <v>1</v>
      </c>
    </row>
    <row r="63" ht="14.25" customHeight="1">
      <c r="A63" s="22" t="s">
        <v>1095</v>
      </c>
      <c r="B63" s="22" t="s">
        <v>7</v>
      </c>
      <c r="C63" s="22" t="s">
        <v>1096</v>
      </c>
      <c r="D63" s="22" t="s">
        <v>1097</v>
      </c>
      <c r="E63" s="22" t="s">
        <v>1098</v>
      </c>
      <c r="F63" s="22">
        <v>322.0</v>
      </c>
      <c r="G63" s="22">
        <v>115.0</v>
      </c>
      <c r="H63" s="22" t="b">
        <f>(RIGHT('2024_Draft_team'!$C63,8)="(Keeper)")</f>
        <v>0</v>
      </c>
      <c r="I63" s="25" t="str">
        <f>IF(RIGHT(LEFT('2024_Draft_team'!$A63,3))="/",RIGHT(LEFT('2024_Draft_team'!$A63,2),1),RIGHT(LEFT('2024_Draft_team'!$A63,3),2))</f>
        <v>8</v>
      </c>
      <c r="J63" s="26">
        <f>IF(OR(AND(('2024_Draft_team'!$I63-4)&lt;=0,'2024_Draft_team'!$H63=TRUE),('2024_Draft_team'!$R63=TRUE)),"N/A",IF('2024_Draft_team'!$H63=TRUE,'2024_Draft_team'!$I63-4,'2024_Draft_team'!$I63-0))</f>
        <v>8</v>
      </c>
      <c r="K63" s="22" t="s">
        <v>298</v>
      </c>
      <c r="L63" s="22" t="s">
        <v>299</v>
      </c>
      <c r="M63" s="22" t="s">
        <v>650</v>
      </c>
      <c r="N63" s="22" t="s">
        <v>32</v>
      </c>
      <c r="O63" s="22" t="s">
        <v>141</v>
      </c>
      <c r="P63" s="22"/>
      <c r="Q63" s="22" t="str">
        <f>'2024_Draft_team'!$K63&amp;'2024_Draft_team'!$L63</f>
        <v>SamLaPorta</v>
      </c>
      <c r="R63" s="22" t="b">
        <f t="array" ref="R63">IFERROR((INDEX('2024_Transactions'!$J$2:$J$339,MATCH(1,('2024_Draft_team'!$Q63='2024_Transactions'!$C$2:$C$339)*('2024_Draft_team'!$B63='2024_Transactions'!$B$2:$B$339)*('2024_Transactions'!$J$2:$J$339="Dropped"),0))="Dropped"),FALSE)</f>
        <v>0</v>
      </c>
    </row>
    <row r="64" ht="14.25" customHeight="1">
      <c r="A64" s="22" t="s">
        <v>1099</v>
      </c>
      <c r="B64" s="22" t="s">
        <v>7</v>
      </c>
      <c r="C64" s="22" t="s">
        <v>1100</v>
      </c>
      <c r="D64" s="22" t="s">
        <v>897</v>
      </c>
      <c r="E64" s="22" t="s">
        <v>1101</v>
      </c>
      <c r="F64" s="22">
        <v>265.0</v>
      </c>
      <c r="G64" s="22">
        <v>53.0</v>
      </c>
      <c r="H64" s="22" t="b">
        <f>(RIGHT('2024_Draft_team'!$C64,8)="(Keeper)")</f>
        <v>1</v>
      </c>
      <c r="I64" s="25" t="str">
        <f>IF(RIGHT(LEFT('2024_Draft_team'!$A64,3))="/",RIGHT(LEFT('2024_Draft_team'!$A64,2),1),RIGHT(LEFT('2024_Draft_team'!$A64,3),2))</f>
        <v>9</v>
      </c>
      <c r="J64" s="26">
        <f>IF(OR(AND(('2024_Draft_team'!$I64-4)&lt;=0,'2024_Draft_team'!$H64=TRUE),('2024_Draft_team'!$R64=TRUE)),"N/A",IF('2024_Draft_team'!$H64=TRUE,'2024_Draft_team'!$I64-4,'2024_Draft_team'!$I64-0))</f>
        <v>5</v>
      </c>
      <c r="K64" s="22" t="s">
        <v>241</v>
      </c>
      <c r="L64" s="22" t="s">
        <v>153</v>
      </c>
      <c r="M64" s="22" t="s">
        <v>62</v>
      </c>
      <c r="N64" s="22" t="s">
        <v>39</v>
      </c>
      <c r="O64" s="22" t="s">
        <v>32</v>
      </c>
      <c r="P64" s="22" t="s">
        <v>110</v>
      </c>
      <c r="Q64" s="22" t="str">
        <f>'2024_Draft_team'!$K64&amp;'2024_Draft_team'!$L64&amp;'2024_Draft_team'!$M64</f>
        <v>KennethWalkerIII</v>
      </c>
      <c r="R64" s="22" t="b">
        <f t="array" ref="R64">IFERROR((INDEX('2024_Transactions'!$J$2:$J$339,MATCH(1,('2024_Draft_team'!$Q64='2024_Transactions'!$C$2:$C$339)*('2024_Draft_team'!$B64='2024_Transactions'!$B$2:$B$339)*('2024_Transactions'!$J$2:$J$339="Dropped"),0))="Dropped"),FALSE)</f>
        <v>0</v>
      </c>
    </row>
    <row r="65" ht="14.25" customHeight="1">
      <c r="A65" s="22" t="s">
        <v>1102</v>
      </c>
      <c r="B65" s="22" t="s">
        <v>7</v>
      </c>
      <c r="C65" s="22" t="s">
        <v>1103</v>
      </c>
      <c r="D65" s="22" t="s">
        <v>897</v>
      </c>
      <c r="E65" s="22" t="s">
        <v>1104</v>
      </c>
      <c r="F65" s="22">
        <v>177.0</v>
      </c>
      <c r="G65" s="22">
        <v>11.0</v>
      </c>
      <c r="H65" s="22" t="b">
        <f>(RIGHT('2024_Draft_team'!$C65,8)="(Keeper)")</f>
        <v>1</v>
      </c>
      <c r="I65" s="25" t="str">
        <f>IF(RIGHT(LEFT('2024_Draft_team'!$A65,3))="/",RIGHT(LEFT('2024_Draft_team'!$A65,2),1),RIGHT(LEFT('2024_Draft_team'!$A65,3),2))</f>
        <v>10</v>
      </c>
      <c r="J65" s="26" t="str">
        <f>IF(OR(AND(('2024_Draft_team'!$I65-4)&lt;=0,'2024_Draft_team'!$H65=TRUE),('2024_Draft_team'!$R65=TRUE)),"N/A",IF('2024_Draft_team'!$H65=TRUE,'2024_Draft_team'!$I65-4,'2024_Draft_team'!$I65-0))</f>
        <v>N/A</v>
      </c>
      <c r="K65" s="22" t="s">
        <v>584</v>
      </c>
      <c r="L65" s="22" t="s">
        <v>140</v>
      </c>
      <c r="M65" s="22" t="s">
        <v>563</v>
      </c>
      <c r="N65" s="22" t="s">
        <v>32</v>
      </c>
      <c r="O65" s="22" t="s">
        <v>37</v>
      </c>
      <c r="P65" s="22" t="s">
        <v>890</v>
      </c>
      <c r="Q65" s="22" t="str">
        <f>'2024_Draft_team'!$K65&amp;'2024_Draft_team'!$L65</f>
        <v>De'VondreCampbell</v>
      </c>
      <c r="R65" s="22" t="b">
        <f t="array" ref="R65">IFERROR((INDEX('2024_Transactions'!$J$2:$J$339,MATCH(1,('2024_Draft_team'!$Q65='2024_Transactions'!$C$2:$C$339)*('2024_Draft_team'!$B65='2024_Transactions'!$B$2:$B$339)*('2024_Transactions'!$J$2:$J$339="Dropped"),0))="Dropped"),FALSE)</f>
        <v>1</v>
      </c>
    </row>
    <row r="66" ht="14.25" customHeight="1">
      <c r="A66" s="22" t="s">
        <v>1105</v>
      </c>
      <c r="B66" s="22" t="s">
        <v>7</v>
      </c>
      <c r="C66" s="22" t="s">
        <v>1106</v>
      </c>
      <c r="D66" s="22" t="s">
        <v>897</v>
      </c>
      <c r="E66" s="22" t="s">
        <v>1107</v>
      </c>
      <c r="F66" s="22">
        <v>330.0</v>
      </c>
      <c r="G66" s="22">
        <v>262.0</v>
      </c>
      <c r="H66" s="22" t="b">
        <f>(RIGHT('2024_Draft_team'!$C66,8)="(Keeper)")</f>
        <v>1</v>
      </c>
      <c r="I66" s="25" t="str">
        <f>IF(RIGHT(LEFT('2024_Draft_team'!$A66,3))="/",RIGHT(LEFT('2024_Draft_team'!$A66,2),1),RIGHT(LEFT('2024_Draft_team'!$A66,3),2))</f>
        <v>11</v>
      </c>
      <c r="J66" s="26">
        <f>IF(OR(AND(('2024_Draft_team'!$I66-4)&lt;=0,'2024_Draft_team'!$H66=TRUE),('2024_Draft_team'!$R66=TRUE)),"N/A",IF('2024_Draft_team'!$H66=TRUE,'2024_Draft_team'!$I66-4,'2024_Draft_team'!$I66-0))</f>
        <v>7</v>
      </c>
      <c r="K66" s="22" t="s">
        <v>314</v>
      </c>
      <c r="L66" s="22" t="s">
        <v>297</v>
      </c>
      <c r="M66" s="22" t="s">
        <v>563</v>
      </c>
      <c r="N66" s="22" t="s">
        <v>32</v>
      </c>
      <c r="O66" s="22" t="s">
        <v>49</v>
      </c>
      <c r="P66" s="22" t="s">
        <v>890</v>
      </c>
      <c r="Q66" s="22" t="str">
        <f>'2024_Draft_team'!$K66&amp;'2024_Draft_team'!$L66</f>
        <v>QuincyWilliams</v>
      </c>
      <c r="R66" s="22" t="b">
        <f t="array" ref="R66">IFERROR((INDEX('2024_Transactions'!$J$2:$J$339,MATCH(1,('2024_Draft_team'!$Q66='2024_Transactions'!$C$2:$C$339)*('2024_Draft_team'!$B66='2024_Transactions'!$B$2:$B$339)*('2024_Transactions'!$J$2:$J$339="Dropped"),0))="Dropped"),FALSE)</f>
        <v>0</v>
      </c>
    </row>
    <row r="67" ht="14.25" customHeight="1">
      <c r="A67" s="22" t="s">
        <v>1108</v>
      </c>
      <c r="B67" s="22" t="s">
        <v>7</v>
      </c>
      <c r="C67" s="22" t="s">
        <v>1109</v>
      </c>
      <c r="D67" s="22" t="s">
        <v>1110</v>
      </c>
      <c r="E67" s="22" t="s">
        <v>1111</v>
      </c>
      <c r="F67" s="22">
        <v>356.0</v>
      </c>
      <c r="G67" s="22">
        <v>202.0</v>
      </c>
      <c r="H67" s="22" t="b">
        <f>(RIGHT('2024_Draft_team'!$C67,8)="(Keeper)")</f>
        <v>0</v>
      </c>
      <c r="I67" s="25" t="str">
        <f>IF(RIGHT(LEFT('2024_Draft_team'!$A67,3))="/",RIGHT(LEFT('2024_Draft_team'!$A67,2),1),RIGHT(LEFT('2024_Draft_team'!$A67,3),2))</f>
        <v>12</v>
      </c>
      <c r="J67" s="26">
        <f>IF(OR(AND(('2024_Draft_team'!$I67-4)&lt;=0,'2024_Draft_team'!$H67=TRUE),('2024_Draft_team'!$R67=TRUE)),"N/A",IF('2024_Draft_team'!$H67=TRUE,'2024_Draft_team'!$I67-4,'2024_Draft_team'!$I67-0))</f>
        <v>12</v>
      </c>
      <c r="K67" s="22" t="s">
        <v>303</v>
      </c>
      <c r="L67" s="22" t="s">
        <v>304</v>
      </c>
      <c r="M67" s="22" t="s">
        <v>563</v>
      </c>
      <c r="N67" s="22" t="s">
        <v>32</v>
      </c>
      <c r="O67" s="22" t="s">
        <v>79</v>
      </c>
      <c r="P67" s="22"/>
      <c r="Q67" s="22" t="str">
        <f>'2024_Draft_team'!$K67&amp;'2024_Draft_team'!$L67</f>
        <v>BlakeCashman</v>
      </c>
      <c r="R67" s="22" t="b">
        <f t="array" ref="R67">IFERROR((INDEX('2024_Transactions'!$J$2:$J$339,MATCH(1,('2024_Draft_team'!$Q67='2024_Transactions'!$C$2:$C$339)*('2024_Draft_team'!$B67='2024_Transactions'!$B$2:$B$339)*('2024_Transactions'!$J$2:$J$339="Dropped"),0))="Dropped"),FALSE)</f>
        <v>0</v>
      </c>
    </row>
    <row r="68" ht="14.25" customHeight="1">
      <c r="A68" s="22" t="s">
        <v>1112</v>
      </c>
      <c r="B68" s="22" t="s">
        <v>7</v>
      </c>
      <c r="C68" s="22" t="s">
        <v>1113</v>
      </c>
      <c r="D68" s="22" t="s">
        <v>1114</v>
      </c>
      <c r="E68" s="22" t="s">
        <v>1115</v>
      </c>
      <c r="F68" s="22">
        <v>8.0</v>
      </c>
      <c r="G68" s="22">
        <v>0.0</v>
      </c>
      <c r="H68" s="22" t="b">
        <f>(RIGHT('2024_Draft_team'!$C68,8)="(Keeper)")</f>
        <v>0</v>
      </c>
      <c r="I68" s="25" t="str">
        <f>IF(RIGHT(LEFT('2024_Draft_team'!$A68,3))="/",RIGHT(LEFT('2024_Draft_team'!$A68,2),1),RIGHT(LEFT('2024_Draft_team'!$A68,3),2))</f>
        <v>13</v>
      </c>
      <c r="J68" s="26">
        <f>IF(OR(AND(('2024_Draft_team'!$I68-4)&lt;=0,'2024_Draft_team'!$H68=TRUE),('2024_Draft_team'!$R68=TRUE)),"N/A",IF('2024_Draft_team'!$H68=TRUE,'2024_Draft_team'!$I68-4,'2024_Draft_team'!$I68-0))</f>
        <v>13</v>
      </c>
      <c r="K68" s="22" t="s">
        <v>316</v>
      </c>
      <c r="L68" s="22" t="s">
        <v>317</v>
      </c>
      <c r="M68" s="22" t="s">
        <v>39</v>
      </c>
      <c r="N68" s="22" t="s">
        <v>32</v>
      </c>
      <c r="O68" s="22" t="s">
        <v>218</v>
      </c>
      <c r="P68" s="22"/>
      <c r="Q68" s="22" t="str">
        <f>'2024_Draft_team'!$K68&amp;'2024_Draft_team'!$L68</f>
        <v>JonathonBrooks</v>
      </c>
      <c r="R68" s="22" t="b">
        <f t="array" ref="R68">IFERROR((INDEX('2024_Transactions'!$J$2:$J$339,MATCH(1,('2024_Draft_team'!$Q68='2024_Transactions'!$C$2:$C$339)*('2024_Draft_team'!$B68='2024_Transactions'!$B$2:$B$339)*('2024_Transactions'!$J$2:$J$339="Dropped"),0))="Dropped"),FALSE)</f>
        <v>0</v>
      </c>
    </row>
    <row r="69" ht="14.25" customHeight="1">
      <c r="A69" s="22" t="s">
        <v>1116</v>
      </c>
      <c r="B69" s="22" t="s">
        <v>7</v>
      </c>
      <c r="C69" s="22" t="s">
        <v>1117</v>
      </c>
      <c r="D69" s="22" t="s">
        <v>1118</v>
      </c>
      <c r="E69" s="22" t="s">
        <v>1119</v>
      </c>
      <c r="F69" s="22">
        <v>433.0</v>
      </c>
      <c r="G69" s="22">
        <v>38.0</v>
      </c>
      <c r="H69" s="22" t="b">
        <f>(RIGHT('2024_Draft_team'!$C69,8)="(Keeper)")</f>
        <v>0</v>
      </c>
      <c r="I69" s="25" t="str">
        <f>IF(RIGHT(LEFT('2024_Draft_team'!$A69,3))="/",RIGHT(LEFT('2024_Draft_team'!$A69,2),1),RIGHT(LEFT('2024_Draft_team'!$A69,3),2))</f>
        <v>14</v>
      </c>
      <c r="J69" s="26">
        <f>IF(OR(AND(('2024_Draft_team'!$I69-4)&lt;=0,'2024_Draft_team'!$H69=TRUE),('2024_Draft_team'!$R69=TRUE)),"N/A",IF('2024_Draft_team'!$H69=TRUE,'2024_Draft_team'!$I69-4,'2024_Draft_team'!$I69-0))</f>
        <v>14</v>
      </c>
      <c r="K69" s="22" t="s">
        <v>377</v>
      </c>
      <c r="L69" s="22" t="s">
        <v>378</v>
      </c>
      <c r="M69" s="22" t="s">
        <v>29</v>
      </c>
      <c r="N69" s="22" t="s">
        <v>32</v>
      </c>
      <c r="O69" s="22" t="s">
        <v>218</v>
      </c>
      <c r="P69" s="22"/>
      <c r="Q69" s="22" t="str">
        <f>'2024_Draft_team'!$K69&amp;'2024_Draft_team'!$L69</f>
        <v>BryceYoung</v>
      </c>
      <c r="R69" s="22" t="b">
        <f t="array" ref="R69">IFERROR((INDEX('2024_Transactions'!$J$2:$J$339,MATCH(1,('2024_Draft_team'!$Q69='2024_Transactions'!$C$2:$C$339)*('2024_Draft_team'!$B69='2024_Transactions'!$B$2:$B$339)*('2024_Transactions'!$J$2:$J$339="Dropped"),0))="Dropped"),FALSE)</f>
        <v>0</v>
      </c>
    </row>
    <row r="70" ht="14.25" customHeight="1">
      <c r="A70" s="22" t="s">
        <v>1120</v>
      </c>
      <c r="B70" s="22" t="s">
        <v>7</v>
      </c>
      <c r="C70" s="22" t="s">
        <v>1121</v>
      </c>
      <c r="D70" s="22" t="s">
        <v>897</v>
      </c>
      <c r="E70" s="22" t="s">
        <v>1122</v>
      </c>
      <c r="F70" s="22">
        <v>495.0</v>
      </c>
      <c r="G70" s="22">
        <v>426.0</v>
      </c>
      <c r="H70" s="22" t="b">
        <f>(RIGHT('2024_Draft_team'!$C70,8)="(Keeper)")</f>
        <v>1</v>
      </c>
      <c r="I70" s="25" t="str">
        <f>IF(RIGHT(LEFT('2024_Draft_team'!$A70,3))="/",RIGHT(LEFT('2024_Draft_team'!$A70,2),1),RIGHT(LEFT('2024_Draft_team'!$A70,3),2))</f>
        <v>15</v>
      </c>
      <c r="J70" s="26">
        <f>IF(OR(AND(('2024_Draft_team'!$I70-4)&lt;=0,'2024_Draft_team'!$H70=TRUE),('2024_Draft_team'!$R70=TRUE)),"N/A",IF('2024_Draft_team'!$H70=TRUE,'2024_Draft_team'!$I70-4,'2024_Draft_team'!$I70-0))</f>
        <v>11</v>
      </c>
      <c r="K70" s="22" t="s">
        <v>296</v>
      </c>
      <c r="L70" s="22" t="s">
        <v>297</v>
      </c>
      <c r="M70" s="22" t="s">
        <v>39</v>
      </c>
      <c r="N70" s="22" t="s">
        <v>32</v>
      </c>
      <c r="O70" s="22" t="s">
        <v>136</v>
      </c>
      <c r="P70" s="22" t="s">
        <v>890</v>
      </c>
      <c r="Q70" s="22" t="str">
        <f>'2024_Draft_team'!$K70&amp;'2024_Draft_team'!$L70</f>
        <v>KyrenWilliams</v>
      </c>
      <c r="R70" s="22" t="b">
        <f t="array" ref="R70">IFERROR((INDEX('2024_Transactions'!$J$2:$J$339,MATCH(1,('2024_Draft_team'!$Q70='2024_Transactions'!$C$2:$C$339)*('2024_Draft_team'!$B70='2024_Transactions'!$B$2:$B$339)*('2024_Transactions'!$J$2:$J$339="Dropped"),0))="Dropped"),FALSE)</f>
        <v>0</v>
      </c>
    </row>
    <row r="71" ht="14.25" customHeight="1">
      <c r="A71" s="22" t="s">
        <v>1123</v>
      </c>
      <c r="B71" s="22" t="s">
        <v>7</v>
      </c>
      <c r="C71" s="22" t="s">
        <v>1124</v>
      </c>
      <c r="D71" s="22" t="s">
        <v>897</v>
      </c>
      <c r="E71" s="22" t="s">
        <v>1125</v>
      </c>
      <c r="F71" s="22">
        <v>346.0</v>
      </c>
      <c r="G71" s="22">
        <v>311.0</v>
      </c>
      <c r="H71" s="22" t="b">
        <f>(RIGHT('2024_Draft_team'!$C71,8)="(Keeper)")</f>
        <v>1</v>
      </c>
      <c r="I71" s="25" t="str">
        <f>IF(RIGHT(LEFT('2024_Draft_team'!$A71,3))="/",RIGHT(LEFT('2024_Draft_team'!$A71,2),1),RIGHT(LEFT('2024_Draft_team'!$A71,3),2))</f>
        <v>16</v>
      </c>
      <c r="J71" s="26">
        <f>IF(OR(AND(('2024_Draft_team'!$I71-4)&lt;=0,'2024_Draft_team'!$H71=TRUE),('2024_Draft_team'!$R71=TRUE)),"N/A",IF('2024_Draft_team'!$H71=TRUE,'2024_Draft_team'!$I71-4,'2024_Draft_team'!$I71-0))</f>
        <v>12</v>
      </c>
      <c r="K71" s="22" t="s">
        <v>309</v>
      </c>
      <c r="L71" s="22" t="s">
        <v>310</v>
      </c>
      <c r="M71" s="22" t="s">
        <v>573</v>
      </c>
      <c r="N71" s="22" t="s">
        <v>32</v>
      </c>
      <c r="O71" s="22" t="s">
        <v>110</v>
      </c>
      <c r="P71" s="22" t="s">
        <v>890</v>
      </c>
      <c r="Q71" s="22" t="str">
        <f>'2024_Draft_team'!$K71&amp;'2024_Draft_team'!$L71</f>
        <v>JulianLove</v>
      </c>
      <c r="R71" s="22" t="b">
        <f t="array" ref="R71">IFERROR((INDEX('2024_Transactions'!$J$2:$J$339,MATCH(1,('2024_Draft_team'!$Q71='2024_Transactions'!$C$2:$C$339)*('2024_Draft_team'!$B71='2024_Transactions'!$B$2:$B$339)*('2024_Transactions'!$J$2:$J$339="Dropped"),0))="Dropped"),FALSE)</f>
        <v>0</v>
      </c>
    </row>
    <row r="72" ht="14.25" customHeight="1">
      <c r="A72" s="22" t="s">
        <v>1126</v>
      </c>
      <c r="B72" s="22" t="s">
        <v>7</v>
      </c>
      <c r="C72" s="22" t="s">
        <v>1127</v>
      </c>
      <c r="D72" s="22" t="s">
        <v>897</v>
      </c>
      <c r="E72" s="22" t="s">
        <v>1128</v>
      </c>
      <c r="F72" s="22">
        <v>334.0</v>
      </c>
      <c r="G72" s="22">
        <v>123.0</v>
      </c>
      <c r="H72" s="22" t="b">
        <f>(RIGHT('2024_Draft_team'!$C72,8)="(Keeper)")</f>
        <v>1</v>
      </c>
      <c r="I72" s="25" t="str">
        <f>IF(RIGHT(LEFT('2024_Draft_team'!$A72,3))="/",RIGHT(LEFT('2024_Draft_team'!$A72,2),1),RIGHT(LEFT('2024_Draft_team'!$A72,3),2))</f>
        <v>17</v>
      </c>
      <c r="J72" s="26">
        <f>IF(OR(AND(('2024_Draft_team'!$I72-4)&lt;=0,'2024_Draft_team'!$H72=TRUE),('2024_Draft_team'!$R72=TRUE)),"N/A",IF('2024_Draft_team'!$H72=TRUE,'2024_Draft_team'!$I72-4,'2024_Draft_team'!$I72-0))</f>
        <v>13</v>
      </c>
      <c r="K72" s="22" t="s">
        <v>321</v>
      </c>
      <c r="L72" s="22" t="s">
        <v>322</v>
      </c>
      <c r="M72" s="22" t="s">
        <v>567</v>
      </c>
      <c r="N72" s="22" t="s">
        <v>32</v>
      </c>
      <c r="O72" s="22" t="s">
        <v>179</v>
      </c>
      <c r="P72" s="22" t="s">
        <v>890</v>
      </c>
      <c r="Q72" s="22" t="str">
        <f>'2024_Draft_team'!$K72&amp;'2024_Draft_team'!$L72</f>
        <v>ZayFlowers</v>
      </c>
      <c r="R72" s="22" t="b">
        <f t="array" ref="R72">IFERROR((INDEX('2024_Transactions'!$J$2:$J$339,MATCH(1,('2024_Draft_team'!$Q72='2024_Transactions'!$C$2:$C$339)*('2024_Draft_team'!$B72='2024_Transactions'!$B$2:$B$339)*('2024_Transactions'!$J$2:$J$339="Dropped"),0))="Dropped"),FALSE)</f>
        <v>0</v>
      </c>
    </row>
    <row r="73" ht="14.25" customHeight="1">
      <c r="A73" s="22" t="s">
        <v>1129</v>
      </c>
      <c r="B73" s="22" t="s">
        <v>7</v>
      </c>
      <c r="C73" s="22" t="s">
        <v>1130</v>
      </c>
      <c r="D73" s="22" t="s">
        <v>897</v>
      </c>
      <c r="E73" s="22" t="s">
        <v>1131</v>
      </c>
      <c r="F73" s="22">
        <v>359.0</v>
      </c>
      <c r="G73" s="22">
        <v>71.0</v>
      </c>
      <c r="H73" s="22" t="b">
        <f>(RIGHT('2024_Draft_team'!$C73,8)="(Keeper)")</f>
        <v>1</v>
      </c>
      <c r="I73" s="25" t="str">
        <f>IF(RIGHT(LEFT('2024_Draft_team'!$A73,3))="/",RIGHT(LEFT('2024_Draft_team'!$A73,2),1),RIGHT(LEFT('2024_Draft_team'!$A73,3),2))</f>
        <v>18</v>
      </c>
      <c r="J73" s="26">
        <f>IF(OR(AND(('2024_Draft_team'!$I73-4)&lt;=0,'2024_Draft_team'!$H73=TRUE),('2024_Draft_team'!$R73=TRUE)),"N/A",IF('2024_Draft_team'!$H73=TRUE,'2024_Draft_team'!$I73-4,'2024_Draft_team'!$I73-0))</f>
        <v>14</v>
      </c>
      <c r="K73" s="22" t="s">
        <v>264</v>
      </c>
      <c r="L73" s="22" t="s">
        <v>318</v>
      </c>
      <c r="M73" s="22" t="s">
        <v>39</v>
      </c>
      <c r="N73" s="22" t="s">
        <v>32</v>
      </c>
      <c r="O73" s="22" t="s">
        <v>141</v>
      </c>
      <c r="P73" s="22" t="s">
        <v>890</v>
      </c>
      <c r="Q73" s="22" t="str">
        <f>'2024_Draft_team'!$K73&amp;'2024_Draft_team'!$L73</f>
        <v>DavidMontgomery</v>
      </c>
      <c r="R73" s="22" t="b">
        <f t="array" ref="R73">IFERROR((INDEX('2024_Transactions'!$J$2:$J$339,MATCH(1,('2024_Draft_team'!$Q73='2024_Transactions'!$C$2:$C$339)*('2024_Draft_team'!$B73='2024_Transactions'!$B$2:$B$339)*('2024_Transactions'!$J$2:$J$339="Dropped"),0))="Dropped"),FALSE)</f>
        <v>0</v>
      </c>
    </row>
    <row r="74" ht="14.25" customHeight="1">
      <c r="A74" s="22" t="s">
        <v>1132</v>
      </c>
      <c r="B74" s="22" t="s">
        <v>7</v>
      </c>
      <c r="C74" s="22" t="s">
        <v>1133</v>
      </c>
      <c r="D74" s="22" t="s">
        <v>1134</v>
      </c>
      <c r="E74" s="22" t="s">
        <v>1135</v>
      </c>
      <c r="F74" s="22">
        <v>281.0</v>
      </c>
      <c r="G74" s="22">
        <v>257.0</v>
      </c>
      <c r="H74" s="22" t="b">
        <f>(RIGHT('2024_Draft_team'!$C74,8)="(Keeper)")</f>
        <v>0</v>
      </c>
      <c r="I74" s="25" t="str">
        <f>IF(RIGHT(LEFT('2024_Draft_team'!$A74,3))="/",RIGHT(LEFT('2024_Draft_team'!$A74,2),1),RIGHT(LEFT('2024_Draft_team'!$A74,3),2))</f>
        <v>19</v>
      </c>
      <c r="J74" s="26">
        <f>IF(OR(AND(('2024_Draft_team'!$I74-4)&lt;=0,'2024_Draft_team'!$H74=TRUE),('2024_Draft_team'!$R74=TRUE)),"N/A",IF('2024_Draft_team'!$H74=TRUE,'2024_Draft_team'!$I74-4,'2024_Draft_team'!$I74-0))</f>
        <v>19</v>
      </c>
      <c r="K74" s="22" t="s">
        <v>307</v>
      </c>
      <c r="L74" s="22" t="s">
        <v>308</v>
      </c>
      <c r="M74" s="22" t="s">
        <v>563</v>
      </c>
      <c r="N74" s="22" t="s">
        <v>32</v>
      </c>
      <c r="O74" s="22" t="s">
        <v>218</v>
      </c>
      <c r="P74" s="22"/>
      <c r="Q74" s="22" t="str">
        <f>'2024_Draft_team'!$K74&amp;'2024_Draft_team'!$L74</f>
        <v>JoseyJewell</v>
      </c>
      <c r="R74" s="22" t="b">
        <f t="array" ref="R74">IFERROR((INDEX('2024_Transactions'!$J$2:$J$339,MATCH(1,('2024_Draft_team'!$Q74='2024_Transactions'!$C$2:$C$339)*('2024_Draft_team'!$B74='2024_Transactions'!$B$2:$B$339)*('2024_Transactions'!$J$2:$J$339="Dropped"),0))="Dropped"),FALSE)</f>
        <v>0</v>
      </c>
    </row>
    <row r="75" ht="14.25" customHeight="1">
      <c r="A75" s="22" t="s">
        <v>1136</v>
      </c>
      <c r="B75" s="22" t="s">
        <v>7</v>
      </c>
      <c r="C75" s="22" t="s">
        <v>1137</v>
      </c>
      <c r="D75" s="22" t="s">
        <v>1138</v>
      </c>
      <c r="E75" s="22" t="s">
        <v>1139</v>
      </c>
      <c r="F75" s="22">
        <v>281.0</v>
      </c>
      <c r="G75" s="22">
        <v>0.0</v>
      </c>
      <c r="H75" s="22" t="b">
        <f>(RIGHT('2024_Draft_team'!$C75,8)="(Keeper)")</f>
        <v>0</v>
      </c>
      <c r="I75" s="25" t="str">
        <f>IF(RIGHT(LEFT('2024_Draft_team'!$A75,3))="/",RIGHT(LEFT('2024_Draft_team'!$A75,2),1),RIGHT(LEFT('2024_Draft_team'!$A75,3),2))</f>
        <v>20</v>
      </c>
      <c r="J75" s="26" t="str">
        <f>IF(OR(AND(('2024_Draft_team'!$I75-4)&lt;=0,'2024_Draft_team'!$H75=TRUE),('2024_Draft_team'!$R75=TRUE)),"N/A",IF('2024_Draft_team'!$H75=TRUE,'2024_Draft_team'!$I75-4,'2024_Draft_team'!$I75-0))</f>
        <v>N/A</v>
      </c>
      <c r="K75" s="22" t="s">
        <v>43</v>
      </c>
      <c r="L75" s="22" t="s">
        <v>659</v>
      </c>
      <c r="M75" s="22" t="s">
        <v>573</v>
      </c>
      <c r="N75" s="22" t="s">
        <v>32</v>
      </c>
      <c r="O75" s="22" t="s">
        <v>79</v>
      </c>
      <c r="P75" s="22"/>
      <c r="Q75" s="22" t="str">
        <f>'2024_Draft_team'!$K75&amp;'2024_Draft_team'!$L75</f>
        <v>JoshMetellus</v>
      </c>
      <c r="R75" s="22" t="b">
        <f t="array" ref="R75">IFERROR((INDEX('2024_Transactions'!$J$2:$J$339,MATCH(1,('2024_Draft_team'!$Q75='2024_Transactions'!$C$2:$C$339)*('2024_Draft_team'!$B75='2024_Transactions'!$B$2:$B$339)*('2024_Transactions'!$J$2:$J$339="Dropped"),0))="Dropped"),FALSE)</f>
        <v>1</v>
      </c>
    </row>
    <row r="76" ht="14.25" customHeight="1">
      <c r="A76" s="22" t="s">
        <v>1140</v>
      </c>
      <c r="B76" s="22" t="s">
        <v>7</v>
      </c>
      <c r="C76" s="22" t="s">
        <v>1141</v>
      </c>
      <c r="D76" s="22" t="s">
        <v>1142</v>
      </c>
      <c r="E76" s="22" t="s">
        <v>1143</v>
      </c>
      <c r="F76" s="22">
        <v>442.0</v>
      </c>
      <c r="G76" s="22">
        <v>285.0</v>
      </c>
      <c r="H76" s="22" t="b">
        <f>(RIGHT('2024_Draft_team'!$C76,8)="(Keeper)")</f>
        <v>0</v>
      </c>
      <c r="I76" s="25" t="str">
        <f>IF(RIGHT(LEFT('2024_Draft_team'!$A76,3))="/",RIGHT(LEFT('2024_Draft_team'!$A76,2),1),RIGHT(LEFT('2024_Draft_team'!$A76,3),2))</f>
        <v>21</v>
      </c>
      <c r="J76" s="26">
        <f>IF(OR(AND(('2024_Draft_team'!$I76-4)&lt;=0,'2024_Draft_team'!$H76=TRUE),('2024_Draft_team'!$R76=TRUE)),"N/A",IF('2024_Draft_team'!$H76=TRUE,'2024_Draft_team'!$I76-4,'2024_Draft_team'!$I76-0))</f>
        <v>21</v>
      </c>
      <c r="K76" s="22" t="s">
        <v>158</v>
      </c>
      <c r="L76" s="22" t="s">
        <v>300</v>
      </c>
      <c r="M76" s="22" t="s">
        <v>131</v>
      </c>
      <c r="N76" s="22" t="s">
        <v>567</v>
      </c>
      <c r="O76" s="22" t="s">
        <v>32</v>
      </c>
      <c r="P76" s="22" t="s">
        <v>148</v>
      </c>
      <c r="Q76" s="22" t="str">
        <f>'2024_Draft_team'!$K76&amp;'2024_Draft_team'!$L76&amp;'2024_Draft_team'!$M76</f>
        <v>BrianThomasJr.</v>
      </c>
      <c r="R76" s="22" t="b">
        <f t="array" ref="R76">IFERROR((INDEX('2024_Transactions'!$J$2:$J$339,MATCH(1,('2024_Draft_team'!$Q76='2024_Transactions'!$C$2:$C$339)*('2024_Draft_team'!$B76='2024_Transactions'!$B$2:$B$339)*('2024_Transactions'!$J$2:$J$339="Dropped"),0))="Dropped"),FALSE)</f>
        <v>0</v>
      </c>
    </row>
    <row r="77" ht="14.25" customHeight="1">
      <c r="A77" s="22" t="s">
        <v>1144</v>
      </c>
      <c r="B77" s="22" t="s">
        <v>7</v>
      </c>
      <c r="C77" s="22" t="s">
        <v>1145</v>
      </c>
      <c r="D77" s="22" t="s">
        <v>1146</v>
      </c>
      <c r="E77" s="22" t="s">
        <v>1147</v>
      </c>
      <c r="F77" s="22">
        <v>8.0</v>
      </c>
      <c r="G77" s="22">
        <v>0.0</v>
      </c>
      <c r="H77" s="22" t="b">
        <f>(RIGHT('2024_Draft_team'!$C77,8)="(Keeper)")</f>
        <v>0</v>
      </c>
      <c r="I77" s="25" t="str">
        <f>IF(RIGHT(LEFT('2024_Draft_team'!$A77,3))="/",RIGHT(LEFT('2024_Draft_team'!$A77,2),1),RIGHT(LEFT('2024_Draft_team'!$A77,3),2))</f>
        <v>22</v>
      </c>
      <c r="J77" s="26" t="str">
        <f>IF(OR(AND(('2024_Draft_team'!$I77-4)&lt;=0,'2024_Draft_team'!$H77=TRUE),('2024_Draft_team'!$R77=TRUE)),"N/A",IF('2024_Draft_team'!$H77=TRUE,'2024_Draft_team'!$I77-4,'2024_Draft_team'!$I77-0))</f>
        <v>N/A</v>
      </c>
      <c r="K77" s="22" t="s">
        <v>844</v>
      </c>
      <c r="L77" s="22" t="s">
        <v>845</v>
      </c>
      <c r="M77" s="22" t="s">
        <v>563</v>
      </c>
      <c r="N77" s="22" t="s">
        <v>32</v>
      </c>
      <c r="O77" s="22" t="s">
        <v>124</v>
      </c>
      <c r="P77" s="22"/>
      <c r="Q77" s="22" t="str">
        <f>'2024_Draft_team'!$K77&amp;'2024_Draft_team'!$L77</f>
        <v>NicholasMorrow</v>
      </c>
      <c r="R77" s="22" t="b">
        <f t="array" ref="R77">IFERROR((INDEX('2024_Transactions'!$J$2:$J$339,MATCH(1,('2024_Draft_team'!$Q77='2024_Transactions'!$C$2:$C$339)*('2024_Draft_team'!$B77='2024_Transactions'!$B$2:$B$339)*('2024_Transactions'!$J$2:$J$339="Dropped"),0))="Dropped"),FALSE)</f>
        <v>1</v>
      </c>
    </row>
    <row r="78" ht="14.25" customHeight="1">
      <c r="A78" s="22" t="s">
        <v>1148</v>
      </c>
      <c r="B78" s="22" t="s">
        <v>7</v>
      </c>
      <c r="C78" s="22" t="s">
        <v>1149</v>
      </c>
      <c r="D78" s="22" t="s">
        <v>897</v>
      </c>
      <c r="E78" s="22" t="s">
        <v>1150</v>
      </c>
      <c r="F78" s="22">
        <v>429.0</v>
      </c>
      <c r="G78" s="22">
        <v>336.0</v>
      </c>
      <c r="H78" s="22" t="b">
        <f>(RIGHT('2024_Draft_team'!$C78,8)="(Keeper)")</f>
        <v>1</v>
      </c>
      <c r="I78" s="25" t="str">
        <f>IF(RIGHT(LEFT('2024_Draft_team'!$A78,3))="/",RIGHT(LEFT('2024_Draft_team'!$A78,2),1),RIGHT(LEFT('2024_Draft_team'!$A78,3),2))</f>
        <v>23</v>
      </c>
      <c r="J78" s="26">
        <f>IF(OR(AND(('2024_Draft_team'!$I78-4)&lt;=0,'2024_Draft_team'!$H78=TRUE),('2024_Draft_team'!$R78=TRUE)),"N/A",IF('2024_Draft_team'!$H78=TRUE,'2024_Draft_team'!$I78-4,'2024_Draft_team'!$I78-0))</f>
        <v>19</v>
      </c>
      <c r="K78" s="22" t="s">
        <v>294</v>
      </c>
      <c r="L78" s="22" t="s">
        <v>295</v>
      </c>
      <c r="M78" s="22" t="s">
        <v>39</v>
      </c>
      <c r="N78" s="22" t="s">
        <v>32</v>
      </c>
      <c r="O78" s="22" t="s">
        <v>58</v>
      </c>
      <c r="P78" s="22" t="s">
        <v>890</v>
      </c>
      <c r="Q78" s="22" t="str">
        <f>'2024_Draft_team'!$K78&amp;'2024_Draft_team'!$L78</f>
        <v>De'VonAchane</v>
      </c>
      <c r="R78" s="22" t="b">
        <f t="array" ref="R78">IFERROR((INDEX('2024_Transactions'!$J$2:$J$339,MATCH(1,('2024_Draft_team'!$Q78='2024_Transactions'!$C$2:$C$339)*('2024_Draft_team'!$B78='2024_Transactions'!$B$2:$B$339)*('2024_Transactions'!$J$2:$J$339="Dropped"),0))="Dropped"),FALSE)</f>
        <v>0</v>
      </c>
    </row>
    <row r="79" ht="14.25" customHeight="1">
      <c r="A79" s="22" t="s">
        <v>1151</v>
      </c>
      <c r="B79" s="22" t="s">
        <v>7</v>
      </c>
      <c r="C79" s="22" t="s">
        <v>1152</v>
      </c>
      <c r="D79" s="22" t="s">
        <v>1153</v>
      </c>
      <c r="E79" s="22" t="s">
        <v>1154</v>
      </c>
      <c r="F79" s="22">
        <v>56.0</v>
      </c>
      <c r="G79" s="22">
        <v>0.0</v>
      </c>
      <c r="H79" s="22" t="b">
        <f>(RIGHT('2024_Draft_team'!$C79,8)="(Keeper)")</f>
        <v>0</v>
      </c>
      <c r="I79" s="25" t="str">
        <f>IF(RIGHT(LEFT('2024_Draft_team'!$A79,3))="/",RIGHT(LEFT('2024_Draft_team'!$A79,2),1),RIGHT(LEFT('2024_Draft_team'!$A79,3),2))</f>
        <v>24</v>
      </c>
      <c r="J79" s="26">
        <f>IF(OR(AND(('2024_Draft_team'!$I79-4)&lt;=0,'2024_Draft_team'!$H79=TRUE),('2024_Draft_team'!$R79=TRUE)),"N/A",IF('2024_Draft_team'!$H79=TRUE,'2024_Draft_team'!$I79-4,'2024_Draft_team'!$I79-0))</f>
        <v>24</v>
      </c>
      <c r="K79" s="22" t="s">
        <v>1155</v>
      </c>
      <c r="L79" s="22" t="s">
        <v>530</v>
      </c>
      <c r="M79" s="22" t="s">
        <v>563</v>
      </c>
      <c r="N79" s="22" t="s">
        <v>32</v>
      </c>
      <c r="O79" s="22" t="s">
        <v>49</v>
      </c>
      <c r="P79" s="22"/>
      <c r="Q79" s="22" t="str">
        <f>'2024_Draft_team'!$K79&amp;'2024_Draft_team'!$L79</f>
        <v>JaminDavis</v>
      </c>
      <c r="R79" s="22" t="b">
        <f t="array" ref="R79">IFERROR((INDEX('2024_Transactions'!$J$2:$J$339,MATCH(1,('2024_Draft_team'!$Q79='2024_Transactions'!$C$2:$C$339)*('2024_Draft_team'!$B79='2024_Transactions'!$B$2:$B$339)*('2024_Transactions'!$J$2:$J$339="Dropped"),0))="Dropped"),FALSE)</f>
        <v>0</v>
      </c>
    </row>
    <row r="80" ht="14.25" customHeight="1">
      <c r="A80" s="22" t="s">
        <v>1156</v>
      </c>
      <c r="B80" s="22" t="s">
        <v>7</v>
      </c>
      <c r="C80" s="22" t="s">
        <v>1157</v>
      </c>
      <c r="D80" s="22" t="s">
        <v>897</v>
      </c>
      <c r="E80" s="22" t="s">
        <v>1158</v>
      </c>
      <c r="F80" s="22">
        <v>278.0</v>
      </c>
      <c r="G80" s="22">
        <v>56.0</v>
      </c>
      <c r="H80" s="22" t="b">
        <f>(RIGHT('2024_Draft_team'!$C80,8)="(Keeper)")</f>
        <v>1</v>
      </c>
      <c r="I80" s="25" t="str">
        <f>IF(RIGHT(LEFT('2024_Draft_team'!$A80,3))="/",RIGHT(LEFT('2024_Draft_team'!$A80,2),1),RIGHT(LEFT('2024_Draft_team'!$A80,3),2))</f>
        <v>25</v>
      </c>
      <c r="J80" s="26">
        <f>IF(OR(AND(('2024_Draft_team'!$I80-4)&lt;=0,'2024_Draft_team'!$H80=TRUE),('2024_Draft_team'!$R80=TRUE)),"N/A",IF('2024_Draft_team'!$H80=TRUE,'2024_Draft_team'!$I80-4,'2024_Draft_team'!$I80-0))</f>
        <v>21</v>
      </c>
      <c r="K80" s="22" t="s">
        <v>323</v>
      </c>
      <c r="L80" s="22" t="s">
        <v>324</v>
      </c>
      <c r="M80" s="22" t="s">
        <v>567</v>
      </c>
      <c r="N80" s="22" t="s">
        <v>32</v>
      </c>
      <c r="O80" s="22" t="s">
        <v>105</v>
      </c>
      <c r="P80" s="22" t="s">
        <v>890</v>
      </c>
      <c r="Q80" s="22" t="str">
        <f>'2024_Draft_team'!$K80&amp;'2024_Draft_team'!$L80</f>
        <v>MichaelPittman</v>
      </c>
      <c r="R80" s="22" t="b">
        <f t="array" ref="R80">IFERROR((INDEX('2024_Transactions'!$J$2:$J$339,MATCH(1,('2024_Draft_team'!$Q80='2024_Transactions'!$C$2:$C$339)*('2024_Draft_team'!$B80='2024_Transactions'!$B$2:$B$339)*('2024_Transactions'!$J$2:$J$339="Dropped"),0))="Dropped"),FALSE)</f>
        <v>0</v>
      </c>
    </row>
    <row r="81" ht="14.25" customHeight="1">
      <c r="A81" s="22" t="s">
        <v>1159</v>
      </c>
      <c r="B81" s="22" t="s">
        <v>7</v>
      </c>
      <c r="C81" s="22" t="s">
        <v>1160</v>
      </c>
      <c r="D81" s="22" t="s">
        <v>1161</v>
      </c>
      <c r="E81" s="22" t="s">
        <v>1162</v>
      </c>
      <c r="F81" s="22">
        <v>219.0</v>
      </c>
      <c r="G81" s="22">
        <v>0.0</v>
      </c>
      <c r="H81" s="22" t="b">
        <f>(RIGHT('2024_Draft_team'!$C81,8)="(Keeper)")</f>
        <v>0</v>
      </c>
      <c r="I81" s="25" t="str">
        <f>IF(RIGHT(LEFT('2024_Draft_team'!$A81,3))="/",RIGHT(LEFT('2024_Draft_team'!$A81,2),1),RIGHT(LEFT('2024_Draft_team'!$A81,3),2))</f>
        <v>26</v>
      </c>
      <c r="J81" s="26">
        <f>IF(OR(AND(('2024_Draft_team'!$I81-4)&lt;=0,'2024_Draft_team'!$H81=TRUE),('2024_Draft_team'!$R81=TRUE)),"N/A",IF('2024_Draft_team'!$H81=TRUE,'2024_Draft_team'!$I81-4,'2024_Draft_team'!$I81-0))</f>
        <v>26</v>
      </c>
      <c r="K81" s="22" t="s">
        <v>202</v>
      </c>
      <c r="L81" s="22" t="s">
        <v>1163</v>
      </c>
      <c r="M81" s="22" t="s">
        <v>650</v>
      </c>
      <c r="N81" s="22" t="s">
        <v>32</v>
      </c>
      <c r="O81" s="22" t="s">
        <v>63</v>
      </c>
      <c r="P81" s="22"/>
      <c r="Q81" s="22" t="str">
        <f>'2024_Draft_team'!$K81&amp;'2024_Draft_team'!$L81</f>
        <v>KylePitts</v>
      </c>
      <c r="R81" s="22" t="b">
        <f t="array" ref="R81">IFERROR((INDEX('2024_Transactions'!$J$2:$J$339,MATCH(1,('2024_Draft_team'!$Q81='2024_Transactions'!$C$2:$C$339)*('2024_Draft_team'!$B81='2024_Transactions'!$B$2:$B$339)*('2024_Transactions'!$J$2:$J$339="Dropped"),0))="Dropped"),FALSE)</f>
        <v>0</v>
      </c>
    </row>
    <row r="82" ht="14.25" customHeight="1">
      <c r="A82" s="22" t="s">
        <v>1164</v>
      </c>
      <c r="B82" s="22" t="s">
        <v>7</v>
      </c>
      <c r="C82" s="22" t="s">
        <v>1165</v>
      </c>
      <c r="D82" s="22" t="s">
        <v>1166</v>
      </c>
      <c r="E82" s="22" t="s">
        <v>1167</v>
      </c>
      <c r="F82" s="22">
        <v>176.0</v>
      </c>
      <c r="G82" s="22">
        <v>22.0</v>
      </c>
      <c r="H82" s="22" t="b">
        <f>(RIGHT('2024_Draft_team'!$C82,8)="(Keeper)")</f>
        <v>0</v>
      </c>
      <c r="I82" s="25" t="str">
        <f>IF(RIGHT(LEFT('2024_Draft_team'!$A82,3))="/",RIGHT(LEFT('2024_Draft_team'!$A82,2),1),RIGHT(LEFT('2024_Draft_team'!$A82,3),2))</f>
        <v>27</v>
      </c>
      <c r="J82" s="26">
        <f>IF(OR(AND(('2024_Draft_team'!$I82-4)&lt;=0,'2024_Draft_team'!$H82=TRUE),('2024_Draft_team'!$R82=TRUE)),"N/A",IF('2024_Draft_team'!$H82=TRUE,'2024_Draft_team'!$I82-4,'2024_Draft_team'!$I82-0))</f>
        <v>27</v>
      </c>
      <c r="K82" s="22" t="s">
        <v>632</v>
      </c>
      <c r="L82" s="22" t="s">
        <v>633</v>
      </c>
      <c r="M82" s="22" t="s">
        <v>55</v>
      </c>
      <c r="N82" s="22" t="s">
        <v>32</v>
      </c>
      <c r="O82" s="22" t="s">
        <v>119</v>
      </c>
      <c r="P82" s="22"/>
      <c r="Q82" s="22" t="str">
        <f>'2024_Draft_team'!$K82&amp;'2024_Draft_team'!$L82</f>
        <v>EvanMcPherson</v>
      </c>
      <c r="R82" s="22" t="b">
        <f t="array" ref="R82">IFERROR((INDEX('2024_Transactions'!$J$2:$J$339,MATCH(1,('2024_Draft_team'!$Q82='2024_Transactions'!$C$2:$C$339)*('2024_Draft_team'!$B82='2024_Transactions'!$B$2:$B$339)*('2024_Transactions'!$J$2:$J$339="Dropped"),0))="Dropped"),FALSE)</f>
        <v>0</v>
      </c>
    </row>
    <row r="83" ht="14.25" customHeight="1">
      <c r="A83" s="22" t="s">
        <v>1168</v>
      </c>
      <c r="B83" s="22" t="s">
        <v>10</v>
      </c>
      <c r="C83" s="22" t="s">
        <v>1169</v>
      </c>
      <c r="D83" s="22" t="s">
        <v>1170</v>
      </c>
      <c r="E83" s="22" t="s">
        <v>1171</v>
      </c>
      <c r="F83" s="22">
        <v>307.0</v>
      </c>
      <c r="G83" s="22">
        <v>308.0</v>
      </c>
      <c r="H83" s="22" t="b">
        <f>(RIGHT('2024_Draft_team'!$C83,8)="(Keeper)")</f>
        <v>0</v>
      </c>
      <c r="I83" s="25" t="str">
        <f>IF(RIGHT(LEFT('2024_Draft_team'!$A83,3))="/",RIGHT(LEFT('2024_Draft_team'!$A83,2),1),RIGHT(LEFT('2024_Draft_team'!$A83,3),2))</f>
        <v>1</v>
      </c>
      <c r="J83" s="26">
        <f>IF(OR(AND(('2024_Draft_team'!$I83-4)&lt;=0,'2024_Draft_team'!$H83=TRUE),('2024_Draft_team'!$R83=TRUE)),"N/A",IF('2024_Draft_team'!$H83=TRUE,'2024_Draft_team'!$I83-4,'2024_Draft_team'!$I83-0))</f>
        <v>1</v>
      </c>
      <c r="K83" s="22" t="s">
        <v>510</v>
      </c>
      <c r="L83" s="22" t="s">
        <v>511</v>
      </c>
      <c r="M83" s="22" t="s">
        <v>29</v>
      </c>
      <c r="N83" s="22" t="s">
        <v>32</v>
      </c>
      <c r="O83" s="22" t="s">
        <v>148</v>
      </c>
      <c r="P83" s="22"/>
      <c r="Q83" s="22" t="str">
        <f>'2024_Draft_team'!$K83&amp;'2024_Draft_team'!$L83</f>
        <v>TrevorLawrence</v>
      </c>
      <c r="R83" s="22" t="b">
        <f t="array" ref="R83">IFERROR((INDEX('2024_Transactions'!$J$2:$J$339,MATCH(1,('2024_Draft_team'!$Q83='2024_Transactions'!$C$2:$C$339)*('2024_Draft_team'!$B83='2024_Transactions'!$B$2:$B$339)*('2024_Transactions'!$J$2:$J$339="Dropped"),0))="Dropped"),FALSE)</f>
        <v>0</v>
      </c>
    </row>
    <row r="84" ht="14.25" customHeight="1">
      <c r="A84" s="22" t="s">
        <v>1172</v>
      </c>
      <c r="B84" s="22" t="s">
        <v>10</v>
      </c>
      <c r="C84" s="22" t="s">
        <v>1173</v>
      </c>
      <c r="D84" s="22" t="s">
        <v>1174</v>
      </c>
      <c r="E84" s="22" t="s">
        <v>1175</v>
      </c>
      <c r="F84" s="22">
        <v>633.0</v>
      </c>
      <c r="G84" s="22">
        <v>266.0</v>
      </c>
      <c r="H84" s="22" t="b">
        <f>(RIGHT('2024_Draft_team'!$C84,8)="(Keeper)")</f>
        <v>0</v>
      </c>
      <c r="I84" s="25" t="str">
        <f>IF(RIGHT(LEFT('2024_Draft_team'!$A84,3))="/",RIGHT(LEFT('2024_Draft_team'!$A84,2),1),RIGHT(LEFT('2024_Draft_team'!$A84,3),2))</f>
        <v>2</v>
      </c>
      <c r="J84" s="26">
        <f>IF(OR(AND(('2024_Draft_team'!$I84-4)&lt;=0,'2024_Draft_team'!$H84=TRUE),('2024_Draft_team'!$R84=TRUE)),"N/A",IF('2024_Draft_team'!$H84=TRUE,'2024_Draft_team'!$I84-4,'2024_Draft_team'!$I84-0))</f>
        <v>2</v>
      </c>
      <c r="K84" s="22" t="s">
        <v>194</v>
      </c>
      <c r="L84" s="22" t="s">
        <v>468</v>
      </c>
      <c r="M84" s="22" t="s">
        <v>29</v>
      </c>
      <c r="N84" s="22" t="s">
        <v>32</v>
      </c>
      <c r="O84" s="22" t="s">
        <v>54</v>
      </c>
      <c r="P84" s="22"/>
      <c r="Q84" s="22" t="str">
        <f>'2024_Draft_team'!$K84&amp;'2024_Draft_team'!$L84</f>
        <v>JustinHerbert</v>
      </c>
      <c r="R84" s="22" t="b">
        <f t="array" ref="R84">IFERROR((INDEX('2024_Transactions'!$J$2:$J$339,MATCH(1,('2024_Draft_team'!$Q84='2024_Transactions'!$C$2:$C$339)*('2024_Draft_team'!$B84='2024_Transactions'!$B$2:$B$339)*('2024_Transactions'!$J$2:$J$339="Dropped"),0))="Dropped"),FALSE)</f>
        <v>0</v>
      </c>
    </row>
    <row r="85" ht="14.25" customHeight="1">
      <c r="A85" s="22" t="s">
        <v>1176</v>
      </c>
      <c r="B85" s="22" t="s">
        <v>10</v>
      </c>
      <c r="C85" s="22" t="s">
        <v>1177</v>
      </c>
      <c r="D85" s="22" t="s">
        <v>897</v>
      </c>
      <c r="E85" s="22" t="s">
        <v>1178</v>
      </c>
      <c r="F85" s="22">
        <v>49.0</v>
      </c>
      <c r="G85" s="22">
        <v>0.0</v>
      </c>
      <c r="H85" s="22" t="b">
        <f>(RIGHT('2024_Draft_team'!$C85,8)="(Keeper)")</f>
        <v>1</v>
      </c>
      <c r="I85" s="25" t="str">
        <f>IF(RIGHT(LEFT('2024_Draft_team'!$A85,3))="/",RIGHT(LEFT('2024_Draft_team'!$A85,2),1),RIGHT(LEFT('2024_Draft_team'!$A85,3),2))</f>
        <v>3</v>
      </c>
      <c r="J85" s="26" t="str">
        <f>IF(OR(AND(('2024_Draft_team'!$I85-4)&lt;=0,'2024_Draft_team'!$H85=TRUE),('2024_Draft_team'!$R85=TRUE)),"N/A",IF('2024_Draft_team'!$H85=TRUE,'2024_Draft_team'!$I85-4,'2024_Draft_team'!$I85-0))</f>
        <v>N/A</v>
      </c>
      <c r="K85" s="22" t="s">
        <v>173</v>
      </c>
      <c r="L85" s="22" t="s">
        <v>212</v>
      </c>
      <c r="M85" s="22" t="s">
        <v>563</v>
      </c>
      <c r="N85" s="22" t="s">
        <v>32</v>
      </c>
      <c r="O85" s="22" t="s">
        <v>172</v>
      </c>
      <c r="P85" s="22" t="s">
        <v>890</v>
      </c>
      <c r="Q85" s="22" t="str">
        <f>'2024_Draft_team'!$K85&amp;'2024_Draft_team'!$L85</f>
        <v>DevinWhite</v>
      </c>
      <c r="R85" s="22" t="b">
        <f t="array" ref="R85">IFERROR((INDEX('2024_Transactions'!$J$2:$J$339,MATCH(1,('2024_Draft_team'!$Q85='2024_Transactions'!$C$2:$C$339)*('2024_Draft_team'!$B85='2024_Transactions'!$B$2:$B$339)*('2024_Transactions'!$J$2:$J$339="Dropped"),0))="Dropped"),FALSE)</f>
        <v>0</v>
      </c>
    </row>
    <row r="86" ht="14.25" customHeight="1">
      <c r="A86" s="22" t="s">
        <v>1179</v>
      </c>
      <c r="B86" s="22" t="s">
        <v>10</v>
      </c>
      <c r="C86" s="22" t="s">
        <v>1180</v>
      </c>
      <c r="D86" s="22" t="s">
        <v>897</v>
      </c>
      <c r="E86" s="22" t="s">
        <v>1181</v>
      </c>
      <c r="F86" s="22">
        <v>361.0</v>
      </c>
      <c r="G86" s="22">
        <v>341.0</v>
      </c>
      <c r="H86" s="22" t="b">
        <f>(RIGHT('2024_Draft_team'!$C86,8)="(Keeper)")</f>
        <v>1</v>
      </c>
      <c r="I86" s="25" t="str">
        <f>IF(RIGHT(LEFT('2024_Draft_team'!$A86,3))="/",RIGHT(LEFT('2024_Draft_team'!$A86,2),1),RIGHT(LEFT('2024_Draft_team'!$A86,3),2))</f>
        <v>4</v>
      </c>
      <c r="J86" s="26" t="str">
        <f>IF(OR(AND(('2024_Draft_team'!$I86-4)&lt;=0,'2024_Draft_team'!$H86=TRUE),('2024_Draft_team'!$R86=TRUE)),"N/A",IF('2024_Draft_team'!$H86=TRUE,'2024_Draft_team'!$I86-4,'2024_Draft_team'!$I86-0))</f>
        <v>N/A</v>
      </c>
      <c r="K86" s="22" t="s">
        <v>490</v>
      </c>
      <c r="L86" s="22" t="s">
        <v>491</v>
      </c>
      <c r="M86" s="22" t="s">
        <v>563</v>
      </c>
      <c r="N86" s="22" t="s">
        <v>32</v>
      </c>
      <c r="O86" s="22" t="s">
        <v>37</v>
      </c>
      <c r="P86" s="22" t="s">
        <v>890</v>
      </c>
      <c r="Q86" s="22" t="str">
        <f>'2024_Draft_team'!$K86&amp;'2024_Draft_team'!$L86</f>
        <v>FredWarner</v>
      </c>
      <c r="R86" s="22" t="b">
        <f t="array" ref="R86">IFERROR((INDEX('2024_Transactions'!$J$2:$J$339,MATCH(1,('2024_Draft_team'!$Q86='2024_Transactions'!$C$2:$C$339)*('2024_Draft_team'!$B86='2024_Transactions'!$B$2:$B$339)*('2024_Transactions'!$J$2:$J$339="Dropped"),0))="Dropped"),FALSE)</f>
        <v>0</v>
      </c>
    </row>
    <row r="87" ht="14.25" customHeight="1">
      <c r="A87" s="22" t="s">
        <v>1182</v>
      </c>
      <c r="B87" s="22" t="s">
        <v>10</v>
      </c>
      <c r="C87" s="22" t="s">
        <v>1183</v>
      </c>
      <c r="D87" s="22" t="s">
        <v>897</v>
      </c>
      <c r="E87" s="22" t="s">
        <v>1184</v>
      </c>
      <c r="F87" s="22">
        <v>383.0</v>
      </c>
      <c r="G87" s="22">
        <v>369.0</v>
      </c>
      <c r="H87" s="22" t="b">
        <f>(RIGHT('2024_Draft_team'!$C87,8)="(Keeper)")</f>
        <v>1</v>
      </c>
      <c r="I87" s="25" t="str">
        <f>IF(RIGHT(LEFT('2024_Draft_team'!$A87,3))="/",RIGHT(LEFT('2024_Draft_team'!$A87,2),1),RIGHT(LEFT('2024_Draft_team'!$A87,3),2))</f>
        <v>5</v>
      </c>
      <c r="J87" s="26">
        <f>IF(OR(AND(('2024_Draft_team'!$I87-4)&lt;=0,'2024_Draft_team'!$H87=TRUE),('2024_Draft_team'!$R87=TRUE)),"N/A",IF('2024_Draft_team'!$H87=TRUE,'2024_Draft_team'!$I87-4,'2024_Draft_team'!$I87-0))</f>
        <v>1</v>
      </c>
      <c r="K87" s="22" t="s">
        <v>481</v>
      </c>
      <c r="L87" s="22" t="s">
        <v>317</v>
      </c>
      <c r="M87" s="22" t="s">
        <v>563</v>
      </c>
      <c r="N87" s="22" t="s">
        <v>32</v>
      </c>
      <c r="O87" s="22" t="s">
        <v>58</v>
      </c>
      <c r="P87" s="22" t="s">
        <v>890</v>
      </c>
      <c r="Q87" s="22" t="str">
        <f>'2024_Draft_team'!$K87&amp;'2024_Draft_team'!$L87</f>
        <v>JordynBrooks</v>
      </c>
      <c r="R87" s="22" t="b">
        <f t="array" ref="R87">IFERROR((INDEX('2024_Transactions'!$J$2:$J$339,MATCH(1,('2024_Draft_team'!$Q87='2024_Transactions'!$C$2:$C$339)*('2024_Draft_team'!$B87='2024_Transactions'!$B$2:$B$339)*('2024_Transactions'!$J$2:$J$339="Dropped"),0))="Dropped"),FALSE)</f>
        <v>0</v>
      </c>
    </row>
    <row r="88" ht="14.25" customHeight="1">
      <c r="A88" s="22" t="s">
        <v>1185</v>
      </c>
      <c r="B88" s="22" t="s">
        <v>10</v>
      </c>
      <c r="C88" s="22" t="s">
        <v>1186</v>
      </c>
      <c r="D88" s="22" t="s">
        <v>897</v>
      </c>
      <c r="E88" s="22" t="s">
        <v>1187</v>
      </c>
      <c r="F88" s="22">
        <v>226.0</v>
      </c>
      <c r="G88" s="22">
        <v>226.0</v>
      </c>
      <c r="H88" s="22" t="b">
        <f>(RIGHT('2024_Draft_team'!$C88,8)="(Keeper)")</f>
        <v>1</v>
      </c>
      <c r="I88" s="25" t="str">
        <f>IF(RIGHT(LEFT('2024_Draft_team'!$A88,3))="/",RIGHT(LEFT('2024_Draft_team'!$A88,2),1),RIGHT(LEFT('2024_Draft_team'!$A88,3),2))</f>
        <v>6</v>
      </c>
      <c r="J88" s="26">
        <f>IF(OR(AND(('2024_Draft_team'!$I88-4)&lt;=0,'2024_Draft_team'!$H88=TRUE),('2024_Draft_team'!$R88=TRUE)),"N/A",IF('2024_Draft_team'!$H88=TRUE,'2024_Draft_team'!$I88-4,'2024_Draft_team'!$I88-0))</f>
        <v>2</v>
      </c>
      <c r="K88" s="22" t="s">
        <v>516</v>
      </c>
      <c r="L88" s="22" t="s">
        <v>215</v>
      </c>
      <c r="M88" s="22" t="s">
        <v>563</v>
      </c>
      <c r="N88" s="22" t="s">
        <v>32</v>
      </c>
      <c r="O88" s="22" t="s">
        <v>119</v>
      </c>
      <c r="P88" s="22" t="s">
        <v>890</v>
      </c>
      <c r="Q88" s="22" t="str">
        <f>'2024_Draft_team'!$K88&amp;'2024_Draft_team'!$L88</f>
        <v>LoganWilson</v>
      </c>
      <c r="R88" s="22" t="b">
        <f t="array" ref="R88">IFERROR((INDEX('2024_Transactions'!$J$2:$J$339,MATCH(1,('2024_Draft_team'!$Q88='2024_Transactions'!$C$2:$C$339)*('2024_Draft_team'!$B88='2024_Transactions'!$B$2:$B$339)*('2024_Transactions'!$J$2:$J$339="Dropped"),0))="Dropped"),FALSE)</f>
        <v>0</v>
      </c>
    </row>
    <row r="89" ht="14.25" customHeight="1">
      <c r="A89" s="22" t="s">
        <v>1188</v>
      </c>
      <c r="B89" s="22" t="s">
        <v>10</v>
      </c>
      <c r="C89" s="22" t="s">
        <v>1189</v>
      </c>
      <c r="D89" s="22" t="s">
        <v>897</v>
      </c>
      <c r="E89" s="22" t="s">
        <v>1190</v>
      </c>
      <c r="F89" s="22">
        <v>528.0</v>
      </c>
      <c r="G89" s="22">
        <v>477.0</v>
      </c>
      <c r="H89" s="22" t="b">
        <f>(RIGHT('2024_Draft_team'!$C89,8)="(Keeper)")</f>
        <v>1</v>
      </c>
      <c r="I89" s="25" t="str">
        <f>IF(RIGHT(LEFT('2024_Draft_team'!$A89,3))="/",RIGHT(LEFT('2024_Draft_team'!$A89,2),1),RIGHT(LEFT('2024_Draft_team'!$A89,3),2))</f>
        <v>7</v>
      </c>
      <c r="J89" s="26">
        <f>IF(OR(AND(('2024_Draft_team'!$I89-4)&lt;=0,'2024_Draft_team'!$H89=TRUE),('2024_Draft_team'!$R89=TRUE)),"N/A",IF('2024_Draft_team'!$H89=TRUE,'2024_Draft_team'!$I89-4,'2024_Draft_team'!$I89-0))</f>
        <v>3</v>
      </c>
      <c r="K89" s="22" t="s">
        <v>478</v>
      </c>
      <c r="L89" s="22" t="s">
        <v>479</v>
      </c>
      <c r="M89" s="22" t="s">
        <v>134</v>
      </c>
      <c r="N89" s="22" t="s">
        <v>567</v>
      </c>
      <c r="O89" s="22" t="s">
        <v>32</v>
      </c>
      <c r="P89" s="22" t="s">
        <v>141</v>
      </c>
      <c r="Q89" s="22" t="str">
        <f>'2024_Draft_team'!$K89&amp;'2024_Draft_team'!$L89&amp;'2024_Draft_team'!$M89</f>
        <v>Amon-RaSt.Brown</v>
      </c>
      <c r="R89" s="22" t="b">
        <f t="array" ref="R89">IFERROR((INDEX('2024_Transactions'!$J$2:$J$339,MATCH(1,('2024_Draft_team'!$Q89='2024_Transactions'!$C$2:$C$339)*('2024_Draft_team'!$B89='2024_Transactions'!$B$2:$B$339)*('2024_Transactions'!$J$2:$J$339="Dropped"),0))="Dropped"),FALSE)</f>
        <v>0</v>
      </c>
    </row>
    <row r="90" ht="14.25" customHeight="1">
      <c r="A90" s="22" t="s">
        <v>1191</v>
      </c>
      <c r="B90" s="22" t="s">
        <v>10</v>
      </c>
      <c r="C90" s="22" t="s">
        <v>1192</v>
      </c>
      <c r="D90" s="22" t="s">
        <v>897</v>
      </c>
      <c r="E90" s="22" t="s">
        <v>1193</v>
      </c>
      <c r="F90" s="22">
        <v>398.0</v>
      </c>
      <c r="G90" s="22">
        <v>270.0</v>
      </c>
      <c r="H90" s="22" t="b">
        <f>(RIGHT('2024_Draft_team'!$C90,8)="(Keeper)")</f>
        <v>1</v>
      </c>
      <c r="I90" s="25" t="str">
        <f>IF(RIGHT(LEFT('2024_Draft_team'!$A90,3))="/",RIGHT(LEFT('2024_Draft_team'!$A90,2),1),RIGHT(LEFT('2024_Draft_team'!$A90,3),2))</f>
        <v>8</v>
      </c>
      <c r="J90" s="26">
        <f>IF(OR(AND(('2024_Draft_team'!$I90-4)&lt;=0,'2024_Draft_team'!$H90=TRUE),('2024_Draft_team'!$R90=TRUE)),"N/A",IF('2024_Draft_team'!$H90=TRUE,'2024_Draft_team'!$I90-4,'2024_Draft_team'!$I90-0))</f>
        <v>4</v>
      </c>
      <c r="K90" s="22" t="s">
        <v>486</v>
      </c>
      <c r="L90" s="22" t="s">
        <v>487</v>
      </c>
      <c r="M90" s="22" t="s">
        <v>563</v>
      </c>
      <c r="N90" s="22" t="s">
        <v>32</v>
      </c>
      <c r="O90" s="22" t="s">
        <v>98</v>
      </c>
      <c r="P90" s="22" t="s">
        <v>890</v>
      </c>
      <c r="Q90" s="22" t="str">
        <f>'2024_Draft_team'!$K90&amp;'2024_Draft_team'!$L90</f>
        <v>FrankieLuvu</v>
      </c>
      <c r="R90" s="22" t="b">
        <f t="array" ref="R90">IFERROR((INDEX('2024_Transactions'!$J$2:$J$339,MATCH(1,('2024_Draft_team'!$Q90='2024_Transactions'!$C$2:$C$339)*('2024_Draft_team'!$B90='2024_Transactions'!$B$2:$B$339)*('2024_Transactions'!$J$2:$J$339="Dropped"),0))="Dropped"),FALSE)</f>
        <v>0</v>
      </c>
    </row>
    <row r="91" ht="14.25" customHeight="1">
      <c r="A91" s="22" t="s">
        <v>1194</v>
      </c>
      <c r="B91" s="22" t="s">
        <v>10</v>
      </c>
      <c r="C91" s="22" t="s">
        <v>1195</v>
      </c>
      <c r="D91" s="22" t="s">
        <v>897</v>
      </c>
      <c r="E91" s="22" t="s">
        <v>1196</v>
      </c>
      <c r="F91" s="22">
        <v>359.0</v>
      </c>
      <c r="G91" s="22">
        <v>331.0</v>
      </c>
      <c r="H91" s="22" t="b">
        <f>(RIGHT('2024_Draft_team'!$C91,8)="(Keeper)")</f>
        <v>1</v>
      </c>
      <c r="I91" s="25" t="str">
        <f>IF(RIGHT(LEFT('2024_Draft_team'!$A91,3))="/",RIGHT(LEFT('2024_Draft_team'!$A91,2),1),RIGHT(LEFT('2024_Draft_team'!$A91,3),2))</f>
        <v>9</v>
      </c>
      <c r="J91" s="26">
        <f>IF(OR(AND(('2024_Draft_team'!$I91-4)&lt;=0,'2024_Draft_team'!$H91=TRUE),('2024_Draft_team'!$R91=TRUE)),"N/A",IF('2024_Draft_team'!$H91=TRUE,'2024_Draft_team'!$I91-4,'2024_Draft_team'!$I91-0))</f>
        <v>5</v>
      </c>
      <c r="K91" s="22" t="s">
        <v>484</v>
      </c>
      <c r="L91" s="22" t="s">
        <v>485</v>
      </c>
      <c r="M91" s="22" t="s">
        <v>563</v>
      </c>
      <c r="N91" s="22" t="s">
        <v>32</v>
      </c>
      <c r="O91" s="22" t="s">
        <v>87</v>
      </c>
      <c r="P91" s="22" t="s">
        <v>890</v>
      </c>
      <c r="Q91" s="22" t="str">
        <f>'2024_Draft_team'!$K91&amp;'2024_Draft_team'!$L91</f>
        <v>EricKendricks</v>
      </c>
      <c r="R91" s="22" t="b">
        <f t="array" ref="R91">IFERROR((INDEX('2024_Transactions'!$J$2:$J$339,MATCH(1,('2024_Draft_team'!$Q91='2024_Transactions'!$C$2:$C$339)*('2024_Draft_team'!$B91='2024_Transactions'!$B$2:$B$339)*('2024_Transactions'!$J$2:$J$339="Dropped"),0))="Dropped"),FALSE)</f>
        <v>0</v>
      </c>
    </row>
    <row r="92" ht="14.25" customHeight="1">
      <c r="A92" s="22" t="s">
        <v>1197</v>
      </c>
      <c r="B92" s="22" t="s">
        <v>10</v>
      </c>
      <c r="C92" s="22" t="s">
        <v>1198</v>
      </c>
      <c r="D92" s="22" t="s">
        <v>897</v>
      </c>
      <c r="E92" s="22" t="s">
        <v>1199</v>
      </c>
      <c r="F92" s="22">
        <v>347.0</v>
      </c>
      <c r="G92" s="22">
        <v>319.0</v>
      </c>
      <c r="H92" s="22" t="b">
        <f>(RIGHT('2024_Draft_team'!$C92,8)="(Keeper)")</f>
        <v>1</v>
      </c>
      <c r="I92" s="25" t="str">
        <f>IF(RIGHT(LEFT('2024_Draft_team'!$A92,3))="/",RIGHT(LEFT('2024_Draft_team'!$A92,2),1),RIGHT(LEFT('2024_Draft_team'!$A92,3),2))</f>
        <v>10</v>
      </c>
      <c r="J92" s="26">
        <f>IF(OR(AND(('2024_Draft_team'!$I92-4)&lt;=0,'2024_Draft_team'!$H92=TRUE),('2024_Draft_team'!$R92=TRUE)),"N/A",IF('2024_Draft_team'!$H92=TRUE,'2024_Draft_team'!$I92-4,'2024_Draft_team'!$I92-0))</f>
        <v>6</v>
      </c>
      <c r="K92" s="22" t="s">
        <v>476</v>
      </c>
      <c r="L92" s="22" t="s">
        <v>477</v>
      </c>
      <c r="M92" s="22" t="s">
        <v>567</v>
      </c>
      <c r="N92" s="22" t="s">
        <v>32</v>
      </c>
      <c r="O92" s="22" t="s">
        <v>119</v>
      </c>
      <c r="P92" s="22" t="s">
        <v>890</v>
      </c>
      <c r="Q92" s="22" t="str">
        <f>'2024_Draft_team'!$K92&amp;'2024_Draft_team'!$L92</f>
        <v>TeeHiggins</v>
      </c>
      <c r="R92" s="22" t="b">
        <f t="array" ref="R92">IFERROR((INDEX('2024_Transactions'!$J$2:$J$339,MATCH(1,('2024_Draft_team'!$Q92='2024_Transactions'!$C$2:$C$339)*('2024_Draft_team'!$B92='2024_Transactions'!$B$2:$B$339)*('2024_Transactions'!$J$2:$J$339="Dropped"),0))="Dropped"),FALSE)</f>
        <v>0</v>
      </c>
    </row>
    <row r="93" ht="14.25" customHeight="1">
      <c r="A93" s="22" t="s">
        <v>1200</v>
      </c>
      <c r="B93" s="22" t="s">
        <v>10</v>
      </c>
      <c r="C93" s="22" t="s">
        <v>1201</v>
      </c>
      <c r="D93" s="22" t="s">
        <v>897</v>
      </c>
      <c r="E93" s="22" t="s">
        <v>1202</v>
      </c>
      <c r="F93" s="22">
        <v>220.0</v>
      </c>
      <c r="G93" s="22">
        <v>114.0</v>
      </c>
      <c r="H93" s="22" t="b">
        <f>(RIGHT('2024_Draft_team'!$C93,8)="(Keeper)")</f>
        <v>1</v>
      </c>
      <c r="I93" s="25" t="str">
        <f>IF(RIGHT(LEFT('2024_Draft_team'!$A93,3))="/",RIGHT(LEFT('2024_Draft_team'!$A93,2),1),RIGHT(LEFT('2024_Draft_team'!$A93,3),2))</f>
        <v>11</v>
      </c>
      <c r="J93" s="26">
        <f>IF(OR(AND(('2024_Draft_team'!$I93-4)&lt;=0,'2024_Draft_team'!$H93=TRUE),('2024_Draft_team'!$R93=TRUE)),"N/A",IF('2024_Draft_team'!$H93=TRUE,'2024_Draft_team'!$I93-4,'2024_Draft_team'!$I93-0))</f>
        <v>7</v>
      </c>
      <c r="K93" s="22" t="s">
        <v>1203</v>
      </c>
      <c r="L93" s="22" t="s">
        <v>297</v>
      </c>
      <c r="M93" s="22" t="s">
        <v>39</v>
      </c>
      <c r="N93" s="22" t="s">
        <v>32</v>
      </c>
      <c r="O93" s="22" t="s">
        <v>103</v>
      </c>
      <c r="P93" s="22" t="s">
        <v>890</v>
      </c>
      <c r="Q93" s="22" t="str">
        <f>'2024_Draft_team'!$K93&amp;'2024_Draft_team'!$L93</f>
        <v>JavonteWilliams</v>
      </c>
      <c r="R93" s="22" t="b">
        <f t="array" ref="R93">IFERROR((INDEX('2024_Transactions'!$J$2:$J$339,MATCH(1,('2024_Draft_team'!$Q93='2024_Transactions'!$C$2:$C$339)*('2024_Draft_team'!$B93='2024_Transactions'!$B$2:$B$339)*('2024_Transactions'!$J$2:$J$339="Dropped"),0))="Dropped"),FALSE)</f>
        <v>0</v>
      </c>
    </row>
    <row r="94" ht="14.25" customHeight="1">
      <c r="A94" s="22" t="s">
        <v>1204</v>
      </c>
      <c r="B94" s="22" t="s">
        <v>10</v>
      </c>
      <c r="C94" s="22" t="s">
        <v>1205</v>
      </c>
      <c r="D94" s="22" t="s">
        <v>897</v>
      </c>
      <c r="E94" s="22" t="s">
        <v>1206</v>
      </c>
      <c r="F94" s="22">
        <v>132.0</v>
      </c>
      <c r="G94" s="22">
        <v>67.0</v>
      </c>
      <c r="H94" s="22" t="b">
        <f>(RIGHT('2024_Draft_team'!$C94,8)="(Keeper)")</f>
        <v>1</v>
      </c>
      <c r="I94" s="25" t="str">
        <f>IF(RIGHT(LEFT('2024_Draft_team'!$A94,3))="/",RIGHT(LEFT('2024_Draft_team'!$A94,2),1),RIGHT(LEFT('2024_Draft_team'!$A94,3),2))</f>
        <v>12</v>
      </c>
      <c r="J94" s="26">
        <f>IF(OR(AND(('2024_Draft_team'!$I94-4)&lt;=0,'2024_Draft_team'!$H94=TRUE),('2024_Draft_team'!$R94=TRUE)),"N/A",IF('2024_Draft_team'!$H94=TRUE,'2024_Draft_team'!$I94-4,'2024_Draft_team'!$I94-0))</f>
        <v>8</v>
      </c>
      <c r="K94" s="22" t="s">
        <v>514</v>
      </c>
      <c r="L94" s="22" t="s">
        <v>1207</v>
      </c>
      <c r="M94" s="22" t="s">
        <v>563</v>
      </c>
      <c r="N94" s="22" t="s">
        <v>32</v>
      </c>
      <c r="O94" s="22" t="s">
        <v>63</v>
      </c>
      <c r="P94" s="22" t="s">
        <v>890</v>
      </c>
      <c r="Q94" s="22" t="str">
        <f>'2024_Draft_team'!$K94&amp;'2024_Draft_team'!$L94</f>
        <v>TroyAndersen</v>
      </c>
      <c r="R94" s="22" t="b">
        <f t="array" ref="R94">IFERROR((INDEX('2024_Transactions'!$J$2:$J$339,MATCH(1,('2024_Draft_team'!$Q94='2024_Transactions'!$C$2:$C$339)*('2024_Draft_team'!$B94='2024_Transactions'!$B$2:$B$339)*('2024_Transactions'!$J$2:$J$339="Dropped"),0))="Dropped"),FALSE)</f>
        <v>0</v>
      </c>
    </row>
    <row r="95" ht="14.25" customHeight="1">
      <c r="A95" s="22" t="s">
        <v>1208</v>
      </c>
      <c r="B95" s="22" t="s">
        <v>10</v>
      </c>
      <c r="C95" s="22" t="s">
        <v>1209</v>
      </c>
      <c r="D95" s="22" t="s">
        <v>1210</v>
      </c>
      <c r="E95" s="22" t="s">
        <v>1211</v>
      </c>
      <c r="F95" s="22">
        <v>112.0</v>
      </c>
      <c r="G95" s="22">
        <v>74.0</v>
      </c>
      <c r="H95" s="22" t="b">
        <f>(RIGHT('2024_Draft_team'!$C95,8)="(Keeper)")</f>
        <v>0</v>
      </c>
      <c r="I95" s="25" t="str">
        <f>IF(RIGHT(LEFT('2024_Draft_team'!$A95,3))="/",RIGHT(LEFT('2024_Draft_team'!$A95,2),1),RIGHT(LEFT('2024_Draft_team'!$A95,3),2))</f>
        <v>13</v>
      </c>
      <c r="J95" s="26">
        <f>IF(OR(AND(('2024_Draft_team'!$I95-4)&lt;=0,'2024_Draft_team'!$H95=TRUE),('2024_Draft_team'!$R95=TRUE)),"N/A",IF('2024_Draft_team'!$H95=TRUE,'2024_Draft_team'!$I95-4,'2024_Draft_team'!$I95-0))</f>
        <v>13</v>
      </c>
      <c r="K95" s="22" t="s">
        <v>390</v>
      </c>
      <c r="L95" s="22" t="s">
        <v>1212</v>
      </c>
      <c r="M95" s="22" t="s">
        <v>39</v>
      </c>
      <c r="N95" s="22" t="s">
        <v>32</v>
      </c>
      <c r="O95" s="22" t="s">
        <v>119</v>
      </c>
      <c r="P95" s="22"/>
      <c r="Q95" s="22" t="str">
        <f>'2024_Draft_team'!$K95&amp;'2024_Draft_team'!$L95</f>
        <v>ZackMoss</v>
      </c>
      <c r="R95" s="22" t="b">
        <f t="array" ref="R95">IFERROR((INDEX('2024_Transactions'!$J$2:$J$339,MATCH(1,('2024_Draft_team'!$Q95='2024_Transactions'!$C$2:$C$339)*('2024_Draft_team'!$B95='2024_Transactions'!$B$2:$B$339)*('2024_Transactions'!$J$2:$J$339="Dropped"),0))="Dropped"),FALSE)</f>
        <v>0</v>
      </c>
    </row>
    <row r="96" ht="14.25" customHeight="1">
      <c r="A96" s="22" t="s">
        <v>1213</v>
      </c>
      <c r="B96" s="22" t="s">
        <v>10</v>
      </c>
      <c r="C96" s="22" t="s">
        <v>1214</v>
      </c>
      <c r="D96" s="22" t="s">
        <v>897</v>
      </c>
      <c r="E96" s="22" t="s">
        <v>1215</v>
      </c>
      <c r="F96" s="22">
        <v>569.0</v>
      </c>
      <c r="G96" s="22">
        <v>489.0</v>
      </c>
      <c r="H96" s="22" t="b">
        <f>(RIGHT('2024_Draft_team'!$C96,8)="(Keeper)")</f>
        <v>1</v>
      </c>
      <c r="I96" s="25" t="str">
        <f>IF(RIGHT(LEFT('2024_Draft_team'!$A96,3))="/",RIGHT(LEFT('2024_Draft_team'!$A96,2),1),RIGHT(LEFT('2024_Draft_team'!$A96,3),2))</f>
        <v>14</v>
      </c>
      <c r="J96" s="26">
        <f>IF(OR(AND(('2024_Draft_team'!$I96-4)&lt;=0,'2024_Draft_team'!$H96=TRUE),('2024_Draft_team'!$R96=TRUE)),"N/A",IF('2024_Draft_team'!$H96=TRUE,'2024_Draft_team'!$I96-4,'2024_Draft_team'!$I96-0))</f>
        <v>10</v>
      </c>
      <c r="K96" s="22" t="s">
        <v>469</v>
      </c>
      <c r="L96" s="22" t="s">
        <v>470</v>
      </c>
      <c r="M96" s="22" t="s">
        <v>29</v>
      </c>
      <c r="N96" s="22" t="s">
        <v>32</v>
      </c>
      <c r="O96" s="22" t="s">
        <v>172</v>
      </c>
      <c r="P96" s="22" t="s">
        <v>890</v>
      </c>
      <c r="Q96" s="22" t="str">
        <f>'2024_Draft_team'!$K96&amp;'2024_Draft_team'!$L96</f>
        <v>C.J.Stroud</v>
      </c>
      <c r="R96" s="22" t="b">
        <f t="array" ref="R96">IFERROR((INDEX('2024_Transactions'!$J$2:$J$339,MATCH(1,('2024_Draft_team'!$Q96='2024_Transactions'!$C$2:$C$339)*('2024_Draft_team'!$B96='2024_Transactions'!$B$2:$B$339)*('2024_Transactions'!$J$2:$J$339="Dropped"),0))="Dropped"),FALSE)</f>
        <v>0</v>
      </c>
    </row>
    <row r="97" ht="14.25" customHeight="1">
      <c r="A97" s="22" t="s">
        <v>1216</v>
      </c>
      <c r="B97" s="22" t="s">
        <v>10</v>
      </c>
      <c r="C97" s="22" t="s">
        <v>1217</v>
      </c>
      <c r="D97" s="22" t="s">
        <v>897</v>
      </c>
      <c r="E97" s="22" t="s">
        <v>1218</v>
      </c>
      <c r="F97" s="22">
        <v>287.0</v>
      </c>
      <c r="G97" s="22">
        <v>252.0</v>
      </c>
      <c r="H97" s="22" t="b">
        <f>(RIGHT('2024_Draft_team'!$C97,8)="(Keeper)")</f>
        <v>1</v>
      </c>
      <c r="I97" s="25" t="str">
        <f>IF(RIGHT(LEFT('2024_Draft_team'!$A97,3))="/",RIGHT(LEFT('2024_Draft_team'!$A97,2),1),RIGHT(LEFT('2024_Draft_team'!$A97,3),2))</f>
        <v>15</v>
      </c>
      <c r="J97" s="26">
        <f>IF(OR(AND(('2024_Draft_team'!$I97-4)&lt;=0,'2024_Draft_team'!$H97=TRUE),('2024_Draft_team'!$R97=TRUE)),"N/A",IF('2024_Draft_team'!$H97=TRUE,'2024_Draft_team'!$I97-4,'2024_Draft_team'!$I97-0))</f>
        <v>11</v>
      </c>
      <c r="K97" s="22" t="s">
        <v>494</v>
      </c>
      <c r="L97" s="22" t="s">
        <v>212</v>
      </c>
      <c r="M97" s="22" t="s">
        <v>39</v>
      </c>
      <c r="N97" s="22" t="s">
        <v>32</v>
      </c>
      <c r="O97" s="22" t="s">
        <v>238</v>
      </c>
      <c r="P97" s="22" t="s">
        <v>890</v>
      </c>
      <c r="Q97" s="22" t="str">
        <f>'2024_Draft_team'!$K97&amp;'2024_Draft_team'!$L97</f>
        <v>RachaadWhite</v>
      </c>
      <c r="R97" s="22" t="b">
        <f t="array" ref="R97">IFERROR((INDEX('2024_Transactions'!$J$2:$J$339,MATCH(1,('2024_Draft_team'!$Q97='2024_Transactions'!$C$2:$C$339)*('2024_Draft_team'!$B97='2024_Transactions'!$B$2:$B$339)*('2024_Transactions'!$J$2:$J$339="Dropped"),0))="Dropped"),FALSE)</f>
        <v>0</v>
      </c>
    </row>
    <row r="98" ht="14.25" customHeight="1">
      <c r="A98" s="22" t="s">
        <v>1219</v>
      </c>
      <c r="B98" s="22" t="s">
        <v>10</v>
      </c>
      <c r="C98" s="22" t="s">
        <v>1220</v>
      </c>
      <c r="D98" s="22" t="s">
        <v>897</v>
      </c>
      <c r="E98" s="22" t="s">
        <v>1221</v>
      </c>
      <c r="F98" s="22">
        <v>368.0</v>
      </c>
      <c r="G98" s="22">
        <v>59.0</v>
      </c>
      <c r="H98" s="22" t="b">
        <f>(RIGHT('2024_Draft_team'!$C98,8)="(Keeper)")</f>
        <v>1</v>
      </c>
      <c r="I98" s="25" t="str">
        <f>IF(RIGHT(LEFT('2024_Draft_team'!$A98,3))="/",RIGHT(LEFT('2024_Draft_team'!$A98,2),1),RIGHT(LEFT('2024_Draft_team'!$A98,3),2))</f>
        <v>16</v>
      </c>
      <c r="J98" s="26">
        <f>IF(OR(AND(('2024_Draft_team'!$I98-4)&lt;=0,'2024_Draft_team'!$H98=TRUE),('2024_Draft_team'!$R98=TRUE)),"N/A",IF('2024_Draft_team'!$H98=TRUE,'2024_Draft_team'!$I98-4,'2024_Draft_team'!$I98-0))</f>
        <v>12</v>
      </c>
      <c r="K98" s="22" t="s">
        <v>358</v>
      </c>
      <c r="L98" s="22" t="s">
        <v>359</v>
      </c>
      <c r="M98" s="22" t="s">
        <v>567</v>
      </c>
      <c r="N98" s="22" t="s">
        <v>32</v>
      </c>
      <c r="O98" s="22" t="s">
        <v>42</v>
      </c>
      <c r="P98" s="22" t="s">
        <v>890</v>
      </c>
      <c r="Q98" s="22" t="str">
        <f>'2024_Draft_team'!$K98&amp;'2024_Draft_team'!$L98</f>
        <v>JerryJeudy</v>
      </c>
      <c r="R98" s="22" t="b">
        <f t="array" ref="R98">IFERROR((INDEX('2024_Transactions'!$J$2:$J$339,MATCH(1,('2024_Draft_team'!$Q98='2024_Transactions'!$C$2:$C$339)*('2024_Draft_team'!$B98='2024_Transactions'!$B$2:$B$339)*('2024_Transactions'!$J$2:$J$339="Dropped"),0))="Dropped"),FALSE)</f>
        <v>0</v>
      </c>
    </row>
    <row r="99" ht="14.25" customHeight="1">
      <c r="A99" s="22" t="s">
        <v>1222</v>
      </c>
      <c r="B99" s="22" t="s">
        <v>10</v>
      </c>
      <c r="C99" s="22" t="s">
        <v>1223</v>
      </c>
      <c r="D99" s="22" t="s">
        <v>1224</v>
      </c>
      <c r="E99" s="22" t="s">
        <v>1225</v>
      </c>
      <c r="F99" s="22">
        <v>418.0</v>
      </c>
      <c r="G99" s="22">
        <v>54.0</v>
      </c>
      <c r="H99" s="22" t="b">
        <f>(RIGHT('2024_Draft_team'!$C99,8)="(Keeper)")</f>
        <v>0</v>
      </c>
      <c r="I99" s="25" t="str">
        <f>IF(RIGHT(LEFT('2024_Draft_team'!$A99,3))="/",RIGHT(LEFT('2024_Draft_team'!$A99,2),1),RIGHT(LEFT('2024_Draft_team'!$A99,3),2))</f>
        <v>17</v>
      </c>
      <c r="J99" s="26">
        <f>IF(OR(AND(('2024_Draft_team'!$I99-4)&lt;=0,'2024_Draft_team'!$H99=TRUE),('2024_Draft_team'!$R99=TRUE)),"N/A",IF('2024_Draft_team'!$H99=TRUE,'2024_Draft_team'!$I99-4,'2024_Draft_team'!$I99-0))</f>
        <v>17</v>
      </c>
      <c r="K99" s="22" t="s">
        <v>72</v>
      </c>
      <c r="L99" s="22" t="s">
        <v>498</v>
      </c>
      <c r="M99" s="22" t="s">
        <v>567</v>
      </c>
      <c r="N99" s="22" t="s">
        <v>32</v>
      </c>
      <c r="O99" s="22" t="s">
        <v>90</v>
      </c>
      <c r="P99" s="22"/>
      <c r="Q99" s="22" t="str">
        <f>'2024_Draft_team'!$K99&amp;'2024_Draft_team'!$L99</f>
        <v>XavierWorthy</v>
      </c>
      <c r="R99" s="22" t="b">
        <f t="array" ref="R99">IFERROR((INDEX('2024_Transactions'!$J$2:$J$339,MATCH(1,('2024_Draft_team'!$Q99='2024_Transactions'!$C$2:$C$339)*('2024_Draft_team'!$B99='2024_Transactions'!$B$2:$B$339)*('2024_Transactions'!$J$2:$J$339="Dropped"),0))="Dropped"),FALSE)</f>
        <v>0</v>
      </c>
    </row>
    <row r="100" ht="14.25" customHeight="1">
      <c r="A100" s="22" t="s">
        <v>1226</v>
      </c>
      <c r="B100" s="22" t="s">
        <v>10</v>
      </c>
      <c r="C100" s="22" t="s">
        <v>1227</v>
      </c>
      <c r="D100" s="22" t="s">
        <v>897</v>
      </c>
      <c r="E100" s="22" t="s">
        <v>1228</v>
      </c>
      <c r="F100" s="22">
        <v>299.0</v>
      </c>
      <c r="G100" s="22">
        <v>265.0</v>
      </c>
      <c r="H100" s="22" t="b">
        <f>(RIGHT('2024_Draft_team'!$C100,8)="(Keeper)")</f>
        <v>1</v>
      </c>
      <c r="I100" s="25" t="str">
        <f>IF(RIGHT(LEFT('2024_Draft_team'!$A100,3))="/",RIGHT(LEFT('2024_Draft_team'!$A100,2),1),RIGHT(LEFT('2024_Draft_team'!$A100,3),2))</f>
        <v>18</v>
      </c>
      <c r="J100" s="26">
        <f>IF(OR(AND(('2024_Draft_team'!$I100-4)&lt;=0,'2024_Draft_team'!$H100=TRUE),('2024_Draft_team'!$R100=TRUE)),"N/A",IF('2024_Draft_team'!$H100=TRUE,'2024_Draft_team'!$I100-4,'2024_Draft_team'!$I100-0))</f>
        <v>14</v>
      </c>
      <c r="K100" s="22" t="s">
        <v>194</v>
      </c>
      <c r="L100" s="22" t="s">
        <v>480</v>
      </c>
      <c r="M100" s="22" t="s">
        <v>55</v>
      </c>
      <c r="N100" s="22" t="s">
        <v>32</v>
      </c>
      <c r="O100" s="22" t="s">
        <v>179</v>
      </c>
      <c r="P100" s="22" t="s">
        <v>890</v>
      </c>
      <c r="Q100" s="22" t="str">
        <f>'2024_Draft_team'!$K100&amp;'2024_Draft_team'!$L100</f>
        <v>JustinTucker</v>
      </c>
      <c r="R100" s="22" t="b">
        <f t="array" ref="R100">IFERROR((INDEX('2024_Transactions'!$J$2:$J$339,MATCH(1,('2024_Draft_team'!$Q100='2024_Transactions'!$C$2:$C$339)*('2024_Draft_team'!$B100='2024_Transactions'!$B$2:$B$339)*('2024_Transactions'!$J$2:$J$339="Dropped"),0))="Dropped"),FALSE)</f>
        <v>0</v>
      </c>
    </row>
    <row r="101" ht="14.25" customHeight="1">
      <c r="A101" s="22" t="s">
        <v>1229</v>
      </c>
      <c r="B101" s="22" t="s">
        <v>10</v>
      </c>
      <c r="C101" s="22" t="s">
        <v>1230</v>
      </c>
      <c r="D101" s="22" t="s">
        <v>1231</v>
      </c>
      <c r="E101" s="22" t="s">
        <v>1232</v>
      </c>
      <c r="F101" s="22">
        <v>313.0</v>
      </c>
      <c r="G101" s="22">
        <v>190.0</v>
      </c>
      <c r="H101" s="22" t="b">
        <f>(RIGHT('2024_Draft_team'!$C101,8)="(Keeper)")</f>
        <v>0</v>
      </c>
      <c r="I101" s="25" t="str">
        <f>IF(RIGHT(LEFT('2024_Draft_team'!$A101,3))="/",RIGHT(LEFT('2024_Draft_team'!$A101,2),1),RIGHT(LEFT('2024_Draft_team'!$A101,3),2))</f>
        <v>19</v>
      </c>
      <c r="J101" s="26">
        <f>IF(OR(AND(('2024_Draft_team'!$I101-4)&lt;=0,'2024_Draft_team'!$H101=TRUE),('2024_Draft_team'!$R101=TRUE)),"N/A",IF('2024_Draft_team'!$H101=TRUE,'2024_Draft_team'!$I101-4,'2024_Draft_team'!$I101-0))</f>
        <v>19</v>
      </c>
      <c r="K101" s="22" t="s">
        <v>501</v>
      </c>
      <c r="L101" s="22" t="s">
        <v>502</v>
      </c>
      <c r="M101" s="22" t="s">
        <v>563</v>
      </c>
      <c r="N101" s="22" t="s">
        <v>32</v>
      </c>
      <c r="O101" s="22" t="s">
        <v>58</v>
      </c>
      <c r="P101" s="22"/>
      <c r="Q101" s="22" t="str">
        <f>'2024_Draft_team'!$K101&amp;'2024_Draft_team'!$L101</f>
        <v>TyrelDodson</v>
      </c>
      <c r="R101" s="22" t="b">
        <f t="array" ref="R101">IFERROR((INDEX('2024_Transactions'!$J$2:$J$339,MATCH(1,('2024_Draft_team'!$Q101='2024_Transactions'!$C$2:$C$339)*('2024_Draft_team'!$B101='2024_Transactions'!$B$2:$B$339)*('2024_Transactions'!$J$2:$J$339="Dropped"),0))="Dropped"),FALSE)</f>
        <v>0</v>
      </c>
    </row>
    <row r="102" ht="14.25" customHeight="1">
      <c r="A102" s="22" t="s">
        <v>1233</v>
      </c>
      <c r="B102" s="22" t="s">
        <v>10</v>
      </c>
      <c r="C102" s="22" t="s">
        <v>1234</v>
      </c>
      <c r="D102" s="22" t="s">
        <v>1235</v>
      </c>
      <c r="E102" s="22" t="s">
        <v>1236</v>
      </c>
      <c r="F102" s="22">
        <v>71.0</v>
      </c>
      <c r="G102" s="22">
        <v>0.0</v>
      </c>
      <c r="H102" s="22" t="b">
        <f>(RIGHT('2024_Draft_team'!$C102,8)="(Keeper)")</f>
        <v>0</v>
      </c>
      <c r="I102" s="25" t="str">
        <f>IF(RIGHT(LEFT('2024_Draft_team'!$A102,3))="/",RIGHT(LEFT('2024_Draft_team'!$A102,2),1),RIGHT(LEFT('2024_Draft_team'!$A102,3),2))</f>
        <v>20</v>
      </c>
      <c r="J102" s="26" t="str">
        <f>IF(OR(AND(('2024_Draft_team'!$I102-4)&lt;=0,'2024_Draft_team'!$H102=TRUE),('2024_Draft_team'!$R102=TRUE)),"N/A",IF('2024_Draft_team'!$H102=TRUE,'2024_Draft_team'!$I102-4,'2024_Draft_team'!$I102-0))</f>
        <v>N/A</v>
      </c>
      <c r="K102" s="22" t="s">
        <v>810</v>
      </c>
      <c r="L102" s="22" t="s">
        <v>811</v>
      </c>
      <c r="M102" s="22" t="s">
        <v>563</v>
      </c>
      <c r="N102" s="22" t="s">
        <v>32</v>
      </c>
      <c r="O102" s="22" t="s">
        <v>54</v>
      </c>
      <c r="P102" s="22"/>
      <c r="Q102" s="22" t="str">
        <f>'2024_Draft_team'!$K102&amp;'2024_Draft_team'!$L102</f>
        <v>JuniorColson</v>
      </c>
      <c r="R102" s="22" t="b">
        <f t="array" ref="R102">IFERROR((INDEX('2024_Transactions'!$J$2:$J$339,MATCH(1,('2024_Draft_team'!$Q102='2024_Transactions'!$C$2:$C$339)*('2024_Draft_team'!$B102='2024_Transactions'!$B$2:$B$339)*('2024_Transactions'!$J$2:$J$339="Dropped"),0))="Dropped"),FALSE)</f>
        <v>1</v>
      </c>
    </row>
    <row r="103" ht="14.25" customHeight="1">
      <c r="A103" s="22" t="s">
        <v>1237</v>
      </c>
      <c r="B103" s="22" t="s">
        <v>10</v>
      </c>
      <c r="C103" s="22" t="s">
        <v>1238</v>
      </c>
      <c r="D103" s="22" t="s">
        <v>1239</v>
      </c>
      <c r="E103" s="22" t="s">
        <v>1240</v>
      </c>
      <c r="F103" s="22">
        <v>403.0</v>
      </c>
      <c r="G103" s="22">
        <v>166.0</v>
      </c>
      <c r="H103" s="22" t="b">
        <f>(RIGHT('2024_Draft_team'!$C103,8)="(Keeper)")</f>
        <v>0</v>
      </c>
      <c r="I103" s="25" t="str">
        <f>IF(RIGHT(LEFT('2024_Draft_team'!$A103,3))="/",RIGHT(LEFT('2024_Draft_team'!$A103,2),1),RIGHT(LEFT('2024_Draft_team'!$A103,3),2))</f>
        <v>21</v>
      </c>
      <c r="J103" s="26">
        <f>IF(OR(AND(('2024_Draft_team'!$I103-4)&lt;=0,'2024_Draft_team'!$H103=TRUE),('2024_Draft_team'!$R103=TRUE)),"N/A",IF('2024_Draft_team'!$H103=TRUE,'2024_Draft_team'!$I103-4,'2024_Draft_team'!$I103-0))</f>
        <v>21</v>
      </c>
      <c r="K103" s="22" t="s">
        <v>472</v>
      </c>
      <c r="L103" s="22" t="s">
        <v>473</v>
      </c>
      <c r="M103" s="22" t="s">
        <v>39</v>
      </c>
      <c r="N103" s="22" t="s">
        <v>32</v>
      </c>
      <c r="O103" s="22" t="s">
        <v>238</v>
      </c>
      <c r="P103" s="22"/>
      <c r="Q103" s="22" t="str">
        <f>'2024_Draft_team'!$K103&amp;'2024_Draft_team'!$L103</f>
        <v>BuckyIrving</v>
      </c>
      <c r="R103" s="22" t="b">
        <f t="array" ref="R103">IFERROR((INDEX('2024_Transactions'!$J$2:$J$339,MATCH(1,('2024_Draft_team'!$Q103='2024_Transactions'!$C$2:$C$339)*('2024_Draft_team'!$B103='2024_Transactions'!$B$2:$B$339)*('2024_Transactions'!$J$2:$J$339="Dropped"),0))="Dropped"),FALSE)</f>
        <v>0</v>
      </c>
    </row>
    <row r="104" ht="14.25" customHeight="1">
      <c r="A104" s="22" t="s">
        <v>1241</v>
      </c>
      <c r="B104" s="22" t="s">
        <v>10</v>
      </c>
      <c r="C104" s="22" t="s">
        <v>1242</v>
      </c>
      <c r="D104" s="22" t="s">
        <v>1243</v>
      </c>
      <c r="E104" s="22" t="s">
        <v>1244</v>
      </c>
      <c r="F104" s="22">
        <v>31.0</v>
      </c>
      <c r="G104" s="22">
        <v>31.0</v>
      </c>
      <c r="H104" s="22" t="b">
        <f>(RIGHT('2024_Draft_team'!$C104,8)="(Keeper)")</f>
        <v>0</v>
      </c>
      <c r="I104" s="25" t="str">
        <f>IF(RIGHT(LEFT('2024_Draft_team'!$A104,3))="/",RIGHT(LEFT('2024_Draft_team'!$A104,2),1),RIGHT(LEFT('2024_Draft_team'!$A104,3),2))</f>
        <v>22</v>
      </c>
      <c r="J104" s="26">
        <f>IF(OR(AND(('2024_Draft_team'!$I104-4)&lt;=0,'2024_Draft_team'!$H104=TRUE),('2024_Draft_team'!$R104=TRUE)),"N/A",IF('2024_Draft_team'!$H104=TRUE,'2024_Draft_team'!$I104-4,'2024_Draft_team'!$I104-0))</f>
        <v>22</v>
      </c>
      <c r="K104" s="22" t="s">
        <v>512</v>
      </c>
      <c r="L104" s="22" t="s">
        <v>513</v>
      </c>
      <c r="M104" s="22" t="s">
        <v>563</v>
      </c>
      <c r="N104" s="22" t="s">
        <v>32</v>
      </c>
      <c r="O104" s="22" t="s">
        <v>444</v>
      </c>
      <c r="P104" s="22"/>
      <c r="Q104" s="22" t="str">
        <f>'2024_Draft_team'!$K104&amp;'2024_Draft_team'!$L104</f>
        <v>Ja'WhaunBentley</v>
      </c>
      <c r="R104" s="22" t="b">
        <f t="array" ref="R104">IFERROR((INDEX('2024_Transactions'!$J$2:$J$339,MATCH(1,('2024_Draft_team'!$Q104='2024_Transactions'!$C$2:$C$339)*('2024_Draft_team'!$B104='2024_Transactions'!$B$2:$B$339)*('2024_Transactions'!$J$2:$J$339="Dropped"),0))="Dropped"),FALSE)</f>
        <v>0</v>
      </c>
    </row>
    <row r="105" ht="14.25" customHeight="1">
      <c r="A105" s="22" t="s">
        <v>1245</v>
      </c>
      <c r="B105" s="22" t="s">
        <v>10</v>
      </c>
      <c r="C105" s="22" t="s">
        <v>1246</v>
      </c>
      <c r="D105" s="22" t="s">
        <v>1247</v>
      </c>
      <c r="E105" s="22" t="s">
        <v>1248</v>
      </c>
      <c r="F105" s="22">
        <v>15.0</v>
      </c>
      <c r="G105" s="22">
        <v>1.0</v>
      </c>
      <c r="H105" s="22" t="b">
        <f>(RIGHT('2024_Draft_team'!$C105,8)="(Keeper)")</f>
        <v>0</v>
      </c>
      <c r="I105" s="25" t="str">
        <f>IF(RIGHT(LEFT('2024_Draft_team'!$A105,3))="/",RIGHT(LEFT('2024_Draft_team'!$A105,2),1),RIGHT(LEFT('2024_Draft_team'!$A105,3),2))</f>
        <v>23</v>
      </c>
      <c r="J105" s="26">
        <f>IF(OR(AND(('2024_Draft_team'!$I105-4)&lt;=0,'2024_Draft_team'!$H105=TRUE),('2024_Draft_team'!$R105=TRUE)),"N/A",IF('2024_Draft_team'!$H105=TRUE,'2024_Draft_team'!$I105-4,'2024_Draft_team'!$I105-0))</f>
        <v>23</v>
      </c>
      <c r="K105" s="22" t="s">
        <v>503</v>
      </c>
      <c r="L105" s="22" t="s">
        <v>504</v>
      </c>
      <c r="M105" s="22" t="s">
        <v>563</v>
      </c>
      <c r="N105" s="22" t="s">
        <v>32</v>
      </c>
      <c r="O105" s="22" t="s">
        <v>37</v>
      </c>
      <c r="P105" s="22"/>
      <c r="Q105" s="22" t="str">
        <f>'2024_Draft_team'!$K105&amp;'2024_Draft_team'!$L105</f>
        <v>DreGreenlaw</v>
      </c>
      <c r="R105" s="22" t="b">
        <f t="array" ref="R105">IFERROR((INDEX('2024_Transactions'!$J$2:$J$339,MATCH(1,('2024_Draft_team'!$Q105='2024_Transactions'!$C$2:$C$339)*('2024_Draft_team'!$B105='2024_Transactions'!$B$2:$B$339)*('2024_Transactions'!$J$2:$J$339="Dropped"),0))="Dropped"),FALSE)</f>
        <v>0</v>
      </c>
    </row>
    <row r="106" ht="14.25" customHeight="1">
      <c r="A106" s="22" t="s">
        <v>1249</v>
      </c>
      <c r="B106" s="22" t="s">
        <v>10</v>
      </c>
      <c r="C106" s="22" t="s">
        <v>1250</v>
      </c>
      <c r="D106" s="22" t="s">
        <v>1251</v>
      </c>
      <c r="E106" s="22" t="s">
        <v>1252</v>
      </c>
      <c r="F106" s="22">
        <v>111.0</v>
      </c>
      <c r="G106" s="22">
        <v>39.0</v>
      </c>
      <c r="H106" s="22" t="b">
        <f>(RIGHT('2024_Draft_team'!$C106,8)="(Keeper)")</f>
        <v>0</v>
      </c>
      <c r="I106" s="25" t="str">
        <f>IF(RIGHT(LEFT('2024_Draft_team'!$A106,3))="/",RIGHT(LEFT('2024_Draft_team'!$A106,2),1),RIGHT(LEFT('2024_Draft_team'!$A106,3),2))</f>
        <v>24</v>
      </c>
      <c r="J106" s="26">
        <f>IF(OR(AND(('2024_Draft_team'!$I106-4)&lt;=0,'2024_Draft_team'!$H106=TRUE),('2024_Draft_team'!$R106=TRUE)),"N/A",IF('2024_Draft_team'!$H106=TRUE,'2024_Draft_team'!$I106-4,'2024_Draft_team'!$I106-0))</f>
        <v>24</v>
      </c>
      <c r="K106" s="22" t="s">
        <v>264</v>
      </c>
      <c r="L106" s="22" t="s">
        <v>507</v>
      </c>
      <c r="M106" s="22" t="s">
        <v>563</v>
      </c>
      <c r="N106" s="22" t="s">
        <v>32</v>
      </c>
      <c r="O106" s="22" t="s">
        <v>141</v>
      </c>
      <c r="P106" s="22"/>
      <c r="Q106" s="22" t="str">
        <f>'2024_Draft_team'!$K106&amp;'2024_Draft_team'!$L106</f>
        <v>DavidLong</v>
      </c>
      <c r="R106" s="22" t="b">
        <f t="array" ref="R106">IFERROR((INDEX('2024_Transactions'!$J$2:$J$339,MATCH(1,('2024_Draft_team'!$Q106='2024_Transactions'!$C$2:$C$339)*('2024_Draft_team'!$B106='2024_Transactions'!$B$2:$B$339)*('2024_Transactions'!$J$2:$J$339="Dropped"),0))="Dropped"),FALSE)</f>
        <v>0</v>
      </c>
    </row>
    <row r="107" ht="14.25" customHeight="1">
      <c r="A107" s="22" t="s">
        <v>1253</v>
      </c>
      <c r="B107" s="22" t="s">
        <v>10</v>
      </c>
      <c r="C107" s="22" t="s">
        <v>1254</v>
      </c>
      <c r="D107" s="22" t="s">
        <v>1255</v>
      </c>
      <c r="E107" s="22" t="s">
        <v>1256</v>
      </c>
      <c r="F107" s="22">
        <v>362.0</v>
      </c>
      <c r="G107" s="22">
        <v>104.0</v>
      </c>
      <c r="H107" s="22" t="b">
        <f>(RIGHT('2024_Draft_team'!$C107,8)="(Keeper)")</f>
        <v>0</v>
      </c>
      <c r="I107" s="25" t="str">
        <f>IF(RIGHT(LEFT('2024_Draft_team'!$A107,3))="/",RIGHT(LEFT('2024_Draft_team'!$A107,2),1),RIGHT(LEFT('2024_Draft_team'!$A107,3),2))</f>
        <v>25</v>
      </c>
      <c r="J107" s="26">
        <f>IF(OR(AND(('2024_Draft_team'!$I107-4)&lt;=0,'2024_Draft_team'!$H107=TRUE),('2024_Draft_team'!$R107=TRUE)),"N/A",IF('2024_Draft_team'!$H107=TRUE,'2024_Draft_team'!$I107-4,'2024_Draft_team'!$I107-0))</f>
        <v>25</v>
      </c>
      <c r="K107" s="22" t="s">
        <v>497</v>
      </c>
      <c r="L107" s="22" t="s">
        <v>297</v>
      </c>
      <c r="M107" s="22" t="s">
        <v>567</v>
      </c>
      <c r="N107" s="22" t="s">
        <v>32</v>
      </c>
      <c r="O107" s="22" t="s">
        <v>141</v>
      </c>
      <c r="P107" s="22"/>
      <c r="Q107" s="22" t="str">
        <f>'2024_Draft_team'!$K107&amp;'2024_Draft_team'!$L107</f>
        <v>JamesonWilliams</v>
      </c>
      <c r="R107" s="22" t="b">
        <f t="array" ref="R107">IFERROR((INDEX('2024_Transactions'!$J$2:$J$339,MATCH(1,('2024_Draft_team'!$Q107='2024_Transactions'!$C$2:$C$339)*('2024_Draft_team'!$B107='2024_Transactions'!$B$2:$B$339)*('2024_Transactions'!$J$2:$J$339="Dropped"),0))="Dropped"),FALSE)</f>
        <v>0</v>
      </c>
    </row>
    <row r="108" ht="14.25" customHeight="1">
      <c r="A108" s="22" t="s">
        <v>1257</v>
      </c>
      <c r="B108" s="22" t="s">
        <v>10</v>
      </c>
      <c r="C108" s="22" t="s">
        <v>1258</v>
      </c>
      <c r="D108" s="22" t="s">
        <v>897</v>
      </c>
      <c r="E108" s="22" t="s">
        <v>1259</v>
      </c>
      <c r="F108" s="22">
        <v>361.0</v>
      </c>
      <c r="G108" s="22">
        <v>254.0</v>
      </c>
      <c r="H108" s="22" t="b">
        <f>(RIGHT('2024_Draft_team'!$C108,8)="(Keeper)")</f>
        <v>1</v>
      </c>
      <c r="I108" s="25" t="str">
        <f>IF(RIGHT(LEFT('2024_Draft_team'!$A108,3))="/",RIGHT(LEFT('2024_Draft_team'!$A108,2),1),RIGHT(LEFT('2024_Draft_team'!$A108,3),2))</f>
        <v>26</v>
      </c>
      <c r="J108" s="26">
        <f>IF(OR(AND(('2024_Draft_team'!$I108-4)&lt;=0,'2024_Draft_team'!$H108=TRUE),('2024_Draft_team'!$R108=TRUE)),"N/A",IF('2024_Draft_team'!$H108=TRUE,'2024_Draft_team'!$I108-4,'2024_Draft_team'!$I108-0))</f>
        <v>22</v>
      </c>
      <c r="K108" s="22" t="s">
        <v>488</v>
      </c>
      <c r="L108" s="22" t="s">
        <v>489</v>
      </c>
      <c r="M108" s="22" t="s">
        <v>563</v>
      </c>
      <c r="N108" s="22" t="s">
        <v>32</v>
      </c>
      <c r="O108" s="22" t="s">
        <v>119</v>
      </c>
      <c r="P108" s="22" t="s">
        <v>890</v>
      </c>
      <c r="Q108" s="22" t="str">
        <f>'2024_Draft_team'!$K108&amp;'2024_Draft_team'!$L108</f>
        <v>GermainePratt</v>
      </c>
      <c r="R108" s="22" t="b">
        <f t="array" ref="R108">IFERROR((INDEX('2024_Transactions'!$J$2:$J$339,MATCH(1,('2024_Draft_team'!$Q108='2024_Transactions'!$C$2:$C$339)*('2024_Draft_team'!$B108='2024_Transactions'!$B$2:$B$339)*('2024_Transactions'!$J$2:$J$339="Dropped"),0))="Dropped"),FALSE)</f>
        <v>0</v>
      </c>
    </row>
    <row r="109" ht="14.25" customHeight="1">
      <c r="A109" s="22" t="s">
        <v>1260</v>
      </c>
      <c r="B109" s="22" t="s">
        <v>10</v>
      </c>
      <c r="C109" s="22" t="s">
        <v>1261</v>
      </c>
      <c r="D109" s="22" t="s">
        <v>1262</v>
      </c>
      <c r="E109" s="22" t="s">
        <v>1263</v>
      </c>
      <c r="F109" s="22">
        <v>382.0</v>
      </c>
      <c r="G109" s="22">
        <v>297.0</v>
      </c>
      <c r="H109" s="22" t="b">
        <f>(RIGHT('2024_Draft_team'!$C109,8)="(Keeper)")</f>
        <v>1</v>
      </c>
      <c r="I109" s="25" t="str">
        <f>IF(RIGHT(LEFT('2024_Draft_team'!$A109,3))="/",RIGHT(LEFT('2024_Draft_team'!$A109,2),1),RIGHT(LEFT('2024_Draft_team'!$A109,3),2))</f>
        <v>27</v>
      </c>
      <c r="J109" s="26">
        <f>IF(OR(AND(('2024_Draft_team'!$I109-4)&lt;=0,'2024_Draft_team'!$H109=TRUE),('2024_Draft_team'!$R109=TRUE)),"N/A",IF('2024_Draft_team'!$H109=TRUE,'2024_Draft_team'!$I109-4,'2024_Draft_team'!$I109-0))</f>
        <v>23</v>
      </c>
      <c r="K109" s="22" t="s">
        <v>474</v>
      </c>
      <c r="L109" s="22" t="s">
        <v>475</v>
      </c>
      <c r="M109" s="22" t="s">
        <v>567</v>
      </c>
      <c r="N109" s="22" t="s">
        <v>32</v>
      </c>
      <c r="O109" s="22" t="s">
        <v>172</v>
      </c>
      <c r="P109" s="22" t="s">
        <v>890</v>
      </c>
      <c r="Q109" s="22" t="str">
        <f>'2024_Draft_team'!$K109&amp;'2024_Draft_team'!$L109</f>
        <v>NicoCollins</v>
      </c>
      <c r="R109" s="22" t="b">
        <f t="array" ref="R109">IFERROR((INDEX('2024_Transactions'!$J$2:$J$339,MATCH(1,('2024_Draft_team'!$Q109='2024_Transactions'!$C$2:$C$339)*('2024_Draft_team'!$B109='2024_Transactions'!$B$2:$B$339)*('2024_Transactions'!$J$2:$J$339="Dropped"),0))="Dropped"),FALSE)</f>
        <v>0</v>
      </c>
    </row>
    <row r="110" ht="14.25" customHeight="1">
      <c r="A110" s="22" t="s">
        <v>1264</v>
      </c>
      <c r="B110" s="22" t="s">
        <v>12</v>
      </c>
      <c r="C110" s="22" t="s">
        <v>1265</v>
      </c>
      <c r="D110" s="22" t="s">
        <v>1090</v>
      </c>
      <c r="E110" s="22" t="s">
        <v>1266</v>
      </c>
      <c r="F110" s="22">
        <v>914.0</v>
      </c>
      <c r="G110" s="22">
        <v>711.0</v>
      </c>
      <c r="H110" s="22" t="b">
        <f>(RIGHT('2024_Draft_team'!$C110,8)="(Keeper)")</f>
        <v>0</v>
      </c>
      <c r="I110" s="25" t="str">
        <f>IF(RIGHT(LEFT('2024_Draft_team'!$A110,3))="/",RIGHT(LEFT('2024_Draft_team'!$A110,2),1),RIGHT(LEFT('2024_Draft_team'!$A110,3),2))</f>
        <v>1</v>
      </c>
      <c r="J110" s="26">
        <f>IF(OR(AND(('2024_Draft_team'!$I110-4)&lt;=0,'2024_Draft_team'!$H110=TRUE),('2024_Draft_team'!$R110=TRUE)),"N/A",IF('2024_Draft_team'!$H110=TRUE,'2024_Draft_team'!$I110-4,'2024_Draft_team'!$I110-0))</f>
        <v>1</v>
      </c>
      <c r="K110" s="22" t="s">
        <v>184</v>
      </c>
      <c r="L110" s="22" t="s">
        <v>185</v>
      </c>
      <c r="M110" s="22" t="s">
        <v>29</v>
      </c>
      <c r="N110" s="22" t="s">
        <v>32</v>
      </c>
      <c r="O110" s="22" t="s">
        <v>98</v>
      </c>
      <c r="P110" s="22"/>
      <c r="Q110" s="22" t="str">
        <f>'2024_Draft_team'!$K110&amp;'2024_Draft_team'!$L110</f>
        <v>JaydenDaniels</v>
      </c>
      <c r="R110" s="22" t="b">
        <f t="array" ref="R110">IFERROR((INDEX('2024_Transactions'!$J$2:$J$339,MATCH(1,('2024_Draft_team'!$Q110='2024_Transactions'!$C$2:$C$339)*('2024_Draft_team'!$B110='2024_Transactions'!$B$2:$B$339)*('2024_Transactions'!$J$2:$J$339="Dropped"),0))="Dropped"),FALSE)</f>
        <v>0</v>
      </c>
    </row>
    <row r="111" ht="14.25" customHeight="1">
      <c r="A111" s="22" t="s">
        <v>1267</v>
      </c>
      <c r="B111" s="22" t="s">
        <v>12</v>
      </c>
      <c r="C111" s="22" t="s">
        <v>1268</v>
      </c>
      <c r="D111" s="22" t="s">
        <v>897</v>
      </c>
      <c r="E111" s="22" t="s">
        <v>1269</v>
      </c>
      <c r="F111" s="22">
        <v>504.0</v>
      </c>
      <c r="G111" s="22">
        <v>472.0</v>
      </c>
      <c r="H111" s="22" t="b">
        <f>(RIGHT('2024_Draft_team'!$C111,8)="(Keeper)")</f>
        <v>1</v>
      </c>
      <c r="I111" s="25" t="str">
        <f>IF(RIGHT(LEFT('2024_Draft_team'!$A111,3))="/",RIGHT(LEFT('2024_Draft_team'!$A111,2),1),RIGHT(LEFT('2024_Draft_team'!$A111,3),2))</f>
        <v>2</v>
      </c>
      <c r="J111" s="26" t="str">
        <f>IF(OR(AND(('2024_Draft_team'!$I111-4)&lt;=0,'2024_Draft_team'!$H111=TRUE),('2024_Draft_team'!$R111=TRUE)),"N/A",IF('2024_Draft_team'!$H111=TRUE,'2024_Draft_team'!$I111-4,'2024_Draft_team'!$I111-0))</f>
        <v>N/A</v>
      </c>
      <c r="K111" s="22" t="s">
        <v>194</v>
      </c>
      <c r="L111" s="22" t="s">
        <v>195</v>
      </c>
      <c r="M111" s="22" t="s">
        <v>567</v>
      </c>
      <c r="N111" s="22" t="s">
        <v>32</v>
      </c>
      <c r="O111" s="22" t="s">
        <v>79</v>
      </c>
      <c r="P111" s="22" t="s">
        <v>890</v>
      </c>
      <c r="Q111" s="22" t="str">
        <f>'2024_Draft_team'!$K111&amp;'2024_Draft_team'!$L111</f>
        <v>JustinJefferson</v>
      </c>
      <c r="R111" s="22" t="b">
        <f t="array" ref="R111">IFERROR((INDEX('2024_Transactions'!$J$2:$J$339,MATCH(1,('2024_Draft_team'!$Q111='2024_Transactions'!$C$2:$C$339)*('2024_Draft_team'!$B111='2024_Transactions'!$B$2:$B$339)*('2024_Transactions'!$J$2:$J$339="Dropped"),0))="Dropped"),FALSE)</f>
        <v>0</v>
      </c>
    </row>
    <row r="112" ht="14.25" customHeight="1">
      <c r="A112" s="22" t="s">
        <v>1270</v>
      </c>
      <c r="B112" s="22" t="s">
        <v>12</v>
      </c>
      <c r="C112" s="22" t="s">
        <v>1271</v>
      </c>
      <c r="D112" s="22" t="s">
        <v>897</v>
      </c>
      <c r="E112" s="22" t="s">
        <v>1272</v>
      </c>
      <c r="F112" s="22">
        <v>602.0</v>
      </c>
      <c r="G112" s="22">
        <v>545.0</v>
      </c>
      <c r="H112" s="22" t="b">
        <f>(RIGHT('2024_Draft_team'!$C112,8)="(Keeper)")</f>
        <v>1</v>
      </c>
      <c r="I112" s="25" t="str">
        <f>IF(RIGHT(LEFT('2024_Draft_team'!$A112,3))="/",RIGHT(LEFT('2024_Draft_team'!$A112,2),1),RIGHT(LEFT('2024_Draft_team'!$A112,3),2))</f>
        <v>3</v>
      </c>
      <c r="J112" s="26" t="str">
        <f>IF(OR(AND(('2024_Draft_team'!$I112-4)&lt;=0,'2024_Draft_team'!$H112=TRUE),('2024_Draft_team'!$R112=TRUE)),"N/A",IF('2024_Draft_team'!$H112=TRUE,'2024_Draft_team'!$I112-4,'2024_Draft_team'!$I112-0))</f>
        <v>N/A</v>
      </c>
      <c r="K112" s="22" t="s">
        <v>192</v>
      </c>
      <c r="L112" s="22" t="s">
        <v>193</v>
      </c>
      <c r="M112" s="22" t="s">
        <v>567</v>
      </c>
      <c r="N112" s="22" t="s">
        <v>32</v>
      </c>
      <c r="O112" s="22" t="s">
        <v>119</v>
      </c>
      <c r="P112" s="22" t="s">
        <v>890</v>
      </c>
      <c r="Q112" s="22" t="str">
        <f>'2024_Draft_team'!$K112&amp;'2024_Draft_team'!$L112</f>
        <v>Ja'MarrChase</v>
      </c>
      <c r="R112" s="22" t="b">
        <f t="array" ref="R112">IFERROR((INDEX('2024_Transactions'!$J$2:$J$339,MATCH(1,('2024_Draft_team'!$Q112='2024_Transactions'!$C$2:$C$339)*('2024_Draft_team'!$B112='2024_Transactions'!$B$2:$B$339)*('2024_Transactions'!$J$2:$J$339="Dropped"),0))="Dropped"),FALSE)</f>
        <v>0</v>
      </c>
    </row>
    <row r="113" ht="14.25" customHeight="1">
      <c r="A113" s="22" t="s">
        <v>1273</v>
      </c>
      <c r="B113" s="22" t="s">
        <v>12</v>
      </c>
      <c r="C113" s="22" t="s">
        <v>1274</v>
      </c>
      <c r="D113" s="22" t="s">
        <v>897</v>
      </c>
      <c r="E113" s="22" t="s">
        <v>1275</v>
      </c>
      <c r="F113" s="22">
        <v>599.0</v>
      </c>
      <c r="G113" s="22">
        <v>424.0</v>
      </c>
      <c r="H113" s="22" t="b">
        <f>(RIGHT('2024_Draft_team'!$C113,8)="(Keeper)")</f>
        <v>1</v>
      </c>
      <c r="I113" s="25" t="str">
        <f>IF(RIGHT(LEFT('2024_Draft_team'!$A113,3))="/",RIGHT(LEFT('2024_Draft_team'!$A113,2),1),RIGHT(LEFT('2024_Draft_team'!$A113,3),2))</f>
        <v>4</v>
      </c>
      <c r="J113" s="26" t="str">
        <f>IF(OR(AND(('2024_Draft_team'!$I113-4)&lt;=0,'2024_Draft_team'!$H113=TRUE),('2024_Draft_team'!$R113=TRUE)),"N/A",IF('2024_Draft_team'!$H113=TRUE,'2024_Draft_team'!$I113-4,'2024_Draft_team'!$I113-0))</f>
        <v>N/A</v>
      </c>
      <c r="K113" s="22" t="s">
        <v>186</v>
      </c>
      <c r="L113" s="22" t="s">
        <v>187</v>
      </c>
      <c r="M113" s="22" t="s">
        <v>29</v>
      </c>
      <c r="N113" s="22" t="s">
        <v>32</v>
      </c>
      <c r="O113" s="22" t="s">
        <v>110</v>
      </c>
      <c r="P113" s="22" t="s">
        <v>890</v>
      </c>
      <c r="Q113" s="22" t="str">
        <f>'2024_Draft_team'!$K113&amp;'2024_Draft_team'!$L113</f>
        <v>GenoSmith</v>
      </c>
      <c r="R113" s="22" t="b">
        <f t="array" ref="R113">IFERROR((INDEX('2024_Transactions'!$J$2:$J$339,MATCH(1,('2024_Draft_team'!$Q113='2024_Transactions'!$C$2:$C$339)*('2024_Draft_team'!$B113='2024_Transactions'!$B$2:$B$339)*('2024_Transactions'!$J$2:$J$339="Dropped"),0))="Dropped"),FALSE)</f>
        <v>0</v>
      </c>
    </row>
    <row r="114" ht="14.25" customHeight="1">
      <c r="A114" s="22" t="s">
        <v>1276</v>
      </c>
      <c r="B114" s="22" t="s">
        <v>12</v>
      </c>
      <c r="C114" s="22" t="s">
        <v>1277</v>
      </c>
      <c r="D114" s="22" t="s">
        <v>897</v>
      </c>
      <c r="E114" s="22" t="s">
        <v>1278</v>
      </c>
      <c r="F114" s="22">
        <v>232.0</v>
      </c>
      <c r="G114" s="22">
        <v>232.0</v>
      </c>
      <c r="H114" s="22" t="b">
        <f>(RIGHT('2024_Draft_team'!$C114,8)="(Keeper)")</f>
        <v>1</v>
      </c>
      <c r="I114" s="25" t="str">
        <f>IF(RIGHT(LEFT('2024_Draft_team'!$A114,3))="/",RIGHT(LEFT('2024_Draft_team'!$A114,2),1),RIGHT(LEFT('2024_Draft_team'!$A114,3),2))</f>
        <v>5</v>
      </c>
      <c r="J114" s="26">
        <f>IF(OR(AND(('2024_Draft_team'!$I114-4)&lt;=0,'2024_Draft_team'!$H114=TRUE),('2024_Draft_team'!$R114=TRUE)),"N/A",IF('2024_Draft_team'!$H114=TRUE,'2024_Draft_team'!$I114-4,'2024_Draft_team'!$I114-0))</f>
        <v>1</v>
      </c>
      <c r="K114" s="22" t="s">
        <v>243</v>
      </c>
      <c r="L114" s="22" t="s">
        <v>244</v>
      </c>
      <c r="M114" s="22" t="s">
        <v>563</v>
      </c>
      <c r="N114" s="22" t="s">
        <v>32</v>
      </c>
      <c r="O114" s="22" t="s">
        <v>82</v>
      </c>
      <c r="P114" s="22" t="s">
        <v>890</v>
      </c>
      <c r="Q114" s="22" t="str">
        <f>'2024_Draft_team'!$K114&amp;'2024_Draft_team'!$L114</f>
        <v>BobbyOkereke</v>
      </c>
      <c r="R114" s="22" t="b">
        <f t="array" ref="R114">IFERROR((INDEX('2024_Transactions'!$J$2:$J$339,MATCH(1,('2024_Draft_team'!$Q114='2024_Transactions'!$C$2:$C$339)*('2024_Draft_team'!$B114='2024_Transactions'!$B$2:$B$339)*('2024_Transactions'!$J$2:$J$339="Dropped"),0))="Dropped"),FALSE)</f>
        <v>0</v>
      </c>
    </row>
    <row r="115" ht="14.25" customHeight="1">
      <c r="A115" s="22" t="s">
        <v>1279</v>
      </c>
      <c r="B115" s="22" t="s">
        <v>12</v>
      </c>
      <c r="C115" s="22" t="s">
        <v>1280</v>
      </c>
      <c r="D115" s="22" t="s">
        <v>1281</v>
      </c>
      <c r="E115" s="22" t="s">
        <v>1282</v>
      </c>
      <c r="F115" s="22">
        <v>280.0</v>
      </c>
      <c r="G115" s="22">
        <v>280.0</v>
      </c>
      <c r="H115" s="22" t="b">
        <f>(RIGHT('2024_Draft_team'!$C115,8)="(Keeper)")</f>
        <v>0</v>
      </c>
      <c r="I115" s="25" t="str">
        <f>IF(RIGHT(LEFT('2024_Draft_team'!$A115,3))="/",RIGHT(LEFT('2024_Draft_team'!$A115,2),1),RIGHT(LEFT('2024_Draft_team'!$A115,3),2))</f>
        <v>6</v>
      </c>
      <c r="J115" s="26">
        <f>IF(OR(AND(('2024_Draft_team'!$I115-4)&lt;=0,'2024_Draft_team'!$H115=TRUE),('2024_Draft_team'!$R115=TRUE)),"N/A",IF('2024_Draft_team'!$H115=TRUE,'2024_Draft_team'!$I115-4,'2024_Draft_team'!$I115-0))</f>
        <v>6</v>
      </c>
      <c r="K115" s="22" t="s">
        <v>241</v>
      </c>
      <c r="L115" s="22" t="s">
        <v>242</v>
      </c>
      <c r="M115" s="22" t="s">
        <v>563</v>
      </c>
      <c r="N115" s="22" t="s">
        <v>32</v>
      </c>
      <c r="O115" s="22" t="s">
        <v>71</v>
      </c>
      <c r="P115" s="22"/>
      <c r="Q115" s="22" t="str">
        <f>'2024_Draft_team'!$K115&amp;'2024_Draft_team'!$L115</f>
        <v>KennethMurray</v>
      </c>
      <c r="R115" s="22" t="b">
        <f t="array" ref="R115">IFERROR((INDEX('2024_Transactions'!$J$2:$J$339,MATCH(1,('2024_Draft_team'!$Q115='2024_Transactions'!$C$2:$C$339)*('2024_Draft_team'!$B115='2024_Transactions'!$B$2:$B$339)*('2024_Transactions'!$J$2:$J$339="Dropped"),0))="Dropped"),FALSE)</f>
        <v>0</v>
      </c>
    </row>
    <row r="116" ht="14.25" customHeight="1">
      <c r="A116" s="22" t="s">
        <v>1283</v>
      </c>
      <c r="B116" s="22" t="s">
        <v>12</v>
      </c>
      <c r="C116" s="22" t="s">
        <v>1284</v>
      </c>
      <c r="D116" s="22" t="s">
        <v>897</v>
      </c>
      <c r="E116" s="22" t="s">
        <v>1285</v>
      </c>
      <c r="F116" s="22">
        <v>329.0</v>
      </c>
      <c r="G116" s="22">
        <v>248.0</v>
      </c>
      <c r="H116" s="22" t="b">
        <f>(RIGHT('2024_Draft_team'!$C116,8)="(Keeper)")</f>
        <v>1</v>
      </c>
      <c r="I116" s="25" t="str">
        <f>IF(RIGHT(LEFT('2024_Draft_team'!$A116,3))="/",RIGHT(LEFT('2024_Draft_team'!$A116,2),1),RIGHT(LEFT('2024_Draft_team'!$A116,3),2))</f>
        <v>7</v>
      </c>
      <c r="J116" s="26">
        <f>IF(OR(AND(('2024_Draft_team'!$I116-4)&lt;=0,'2024_Draft_team'!$H116=TRUE),('2024_Draft_team'!$R116=TRUE)),"N/A",IF('2024_Draft_team'!$H116=TRUE,'2024_Draft_team'!$I116-4,'2024_Draft_team'!$I116-0))</f>
        <v>3</v>
      </c>
      <c r="K116" s="22" t="s">
        <v>204</v>
      </c>
      <c r="L116" s="22" t="s">
        <v>102</v>
      </c>
      <c r="M116" s="22" t="s">
        <v>563</v>
      </c>
      <c r="N116" s="22" t="s">
        <v>32</v>
      </c>
      <c r="O116" s="22" t="s">
        <v>110</v>
      </c>
      <c r="P116" s="22" t="s">
        <v>890</v>
      </c>
      <c r="Q116" s="22" t="str">
        <f>'2024_Draft_team'!$K116&amp;'2024_Draft_team'!$L116</f>
        <v>ErnestJones</v>
      </c>
      <c r="R116" s="22" t="b">
        <f t="array" ref="R116">IFERROR((INDEX('2024_Transactions'!$J$2:$J$339,MATCH(1,('2024_Draft_team'!$Q116='2024_Transactions'!$C$2:$C$339)*('2024_Draft_team'!$B116='2024_Transactions'!$B$2:$B$339)*('2024_Transactions'!$J$2:$J$339="Dropped"),0))="Dropped"),FALSE)</f>
        <v>0</v>
      </c>
    </row>
    <row r="117" ht="14.25" customHeight="1">
      <c r="A117" s="22" t="s">
        <v>1286</v>
      </c>
      <c r="B117" s="22" t="s">
        <v>12</v>
      </c>
      <c r="C117" s="22" t="s">
        <v>1287</v>
      </c>
      <c r="D117" s="22" t="s">
        <v>897</v>
      </c>
      <c r="E117" s="22" t="s">
        <v>1288</v>
      </c>
      <c r="F117" s="22">
        <v>627.0</v>
      </c>
      <c r="G117" s="22">
        <v>447.0</v>
      </c>
      <c r="H117" s="22" t="b">
        <f>(RIGHT('2024_Draft_team'!$C117,8)="(Keeper)")</f>
        <v>1</v>
      </c>
      <c r="I117" s="25" t="str">
        <f>IF(RIGHT(LEFT('2024_Draft_team'!$A117,3))="/",RIGHT(LEFT('2024_Draft_team'!$A117,2),1),RIGHT(LEFT('2024_Draft_team'!$A117,3),2))</f>
        <v>8</v>
      </c>
      <c r="J117" s="26">
        <f>IF(OR(AND(('2024_Draft_team'!$I117-4)&lt;=0,'2024_Draft_team'!$H117=TRUE),('2024_Draft_team'!$R117=TRUE)),"N/A",IF('2024_Draft_team'!$H117=TRUE,'2024_Draft_team'!$I117-4,'2024_Draft_team'!$I117-0))</f>
        <v>4</v>
      </c>
      <c r="K117" s="22" t="s">
        <v>188</v>
      </c>
      <c r="L117" s="22" t="s">
        <v>189</v>
      </c>
      <c r="M117" s="22" t="s">
        <v>39</v>
      </c>
      <c r="N117" s="22" t="s">
        <v>32</v>
      </c>
      <c r="O117" s="22" t="s">
        <v>141</v>
      </c>
      <c r="P117" s="22" t="s">
        <v>890</v>
      </c>
      <c r="Q117" s="22" t="str">
        <f>'2024_Draft_team'!$K117&amp;'2024_Draft_team'!$L117</f>
        <v>JahmyrGibbs</v>
      </c>
      <c r="R117" s="22" t="b">
        <f t="array" ref="R117">IFERROR((INDEX('2024_Transactions'!$J$2:$J$339,MATCH(1,('2024_Draft_team'!$Q117='2024_Transactions'!$C$2:$C$339)*('2024_Draft_team'!$B117='2024_Transactions'!$B$2:$B$339)*('2024_Transactions'!$J$2:$J$339="Dropped"),0))="Dropped"),FALSE)</f>
        <v>0</v>
      </c>
    </row>
    <row r="118" ht="14.25" customHeight="1">
      <c r="A118" s="22" t="s">
        <v>1289</v>
      </c>
      <c r="B118" s="22" t="s">
        <v>12</v>
      </c>
      <c r="C118" s="22" t="s">
        <v>1290</v>
      </c>
      <c r="D118" s="22" t="s">
        <v>897</v>
      </c>
      <c r="E118" s="22" t="s">
        <v>1291</v>
      </c>
      <c r="F118" s="22">
        <v>437.0</v>
      </c>
      <c r="G118" s="22">
        <v>320.0</v>
      </c>
      <c r="H118" s="22" t="b">
        <f>(RIGHT('2024_Draft_team'!$C118,8)="(Keeper)")</f>
        <v>1</v>
      </c>
      <c r="I118" s="25" t="str">
        <f>IF(RIGHT(LEFT('2024_Draft_team'!$A118,3))="/",RIGHT(LEFT('2024_Draft_team'!$A118,2),1),RIGHT(LEFT('2024_Draft_team'!$A118,3),2))</f>
        <v>9</v>
      </c>
      <c r="J118" s="26">
        <f>IF(OR(AND(('2024_Draft_team'!$I118-4)&lt;=0,'2024_Draft_team'!$H118=TRUE),('2024_Draft_team'!$R118=TRUE)),"N/A",IF('2024_Draft_team'!$H118=TRUE,'2024_Draft_team'!$I118-4,'2024_Draft_team'!$I118-0))</f>
        <v>5</v>
      </c>
      <c r="K118" s="22" t="s">
        <v>219</v>
      </c>
      <c r="L118" s="22" t="s">
        <v>220</v>
      </c>
      <c r="M118" s="22" t="s">
        <v>39</v>
      </c>
      <c r="N118" s="22" t="s">
        <v>32</v>
      </c>
      <c r="O118" s="22" t="s">
        <v>172</v>
      </c>
      <c r="P118" s="22" t="s">
        <v>890</v>
      </c>
      <c r="Q118" s="22" t="str">
        <f>'2024_Draft_team'!$K118&amp;'2024_Draft_team'!$L118</f>
        <v>JoeMixon</v>
      </c>
      <c r="R118" s="22" t="b">
        <f t="array" ref="R118">IFERROR((INDEX('2024_Transactions'!$J$2:$J$339,MATCH(1,('2024_Draft_team'!$Q118='2024_Transactions'!$C$2:$C$339)*('2024_Draft_team'!$B118='2024_Transactions'!$B$2:$B$339)*('2024_Transactions'!$J$2:$J$339="Dropped"),0))="Dropped"),FALSE)</f>
        <v>0</v>
      </c>
    </row>
    <row r="119" ht="14.25" customHeight="1">
      <c r="A119" s="22" t="s">
        <v>1292</v>
      </c>
      <c r="B119" s="22" t="s">
        <v>12</v>
      </c>
      <c r="C119" s="22" t="s">
        <v>1293</v>
      </c>
      <c r="D119" s="22" t="s">
        <v>897</v>
      </c>
      <c r="E119" s="22" t="s">
        <v>1294</v>
      </c>
      <c r="F119" s="22">
        <v>226.0</v>
      </c>
      <c r="G119" s="22">
        <v>202.0</v>
      </c>
      <c r="H119" s="22" t="b">
        <f>(RIGHT('2024_Draft_team'!$C119,8)="(Keeper)")</f>
        <v>1</v>
      </c>
      <c r="I119" s="25" t="str">
        <f>IF(RIGHT(LEFT('2024_Draft_team'!$A119,3))="/",RIGHT(LEFT('2024_Draft_team'!$A119,2),1),RIGHT(LEFT('2024_Draft_team'!$A119,3),2))</f>
        <v>10</v>
      </c>
      <c r="J119" s="26">
        <f>IF(OR(AND(('2024_Draft_team'!$I119-4)&lt;=0,'2024_Draft_team'!$H119=TRUE),('2024_Draft_team'!$R119=TRUE)),"N/A",IF('2024_Draft_team'!$H119=TRUE,'2024_Draft_team'!$I119-4,'2024_Draft_team'!$I119-0))</f>
        <v>6</v>
      </c>
      <c r="K119" s="22" t="s">
        <v>229</v>
      </c>
      <c r="L119" s="22" t="s">
        <v>230</v>
      </c>
      <c r="M119" s="22" t="s">
        <v>563</v>
      </c>
      <c r="N119" s="22" t="s">
        <v>32</v>
      </c>
      <c r="O119" s="22" t="s">
        <v>172</v>
      </c>
      <c r="P119" s="22" t="s">
        <v>890</v>
      </c>
      <c r="Q119" s="22" t="str">
        <f>'2024_Draft_team'!$K119&amp;'2024_Draft_team'!$L119</f>
        <v>AzeezAl-Shaair</v>
      </c>
      <c r="R119" s="22" t="b">
        <f t="array" ref="R119">IFERROR((INDEX('2024_Transactions'!$J$2:$J$339,MATCH(1,('2024_Draft_team'!$Q119='2024_Transactions'!$C$2:$C$339)*('2024_Draft_team'!$B119='2024_Transactions'!$B$2:$B$339)*('2024_Transactions'!$J$2:$J$339="Dropped"),0))="Dropped"),FALSE)</f>
        <v>0</v>
      </c>
    </row>
    <row r="120" ht="14.25" customHeight="1">
      <c r="A120" s="22" t="s">
        <v>1295</v>
      </c>
      <c r="B120" s="22" t="s">
        <v>12</v>
      </c>
      <c r="C120" s="22" t="s">
        <v>1296</v>
      </c>
      <c r="D120" s="22" t="s">
        <v>897</v>
      </c>
      <c r="E120" s="22" t="s">
        <v>1297</v>
      </c>
      <c r="F120" s="22">
        <v>307.0</v>
      </c>
      <c r="G120" s="22">
        <v>54.0</v>
      </c>
      <c r="H120" s="22" t="b">
        <f>(RIGHT('2024_Draft_team'!$C120,8)="(Keeper)")</f>
        <v>1</v>
      </c>
      <c r="I120" s="25" t="str">
        <f>IF(RIGHT(LEFT('2024_Draft_team'!$A120,3))="/",RIGHT(LEFT('2024_Draft_team'!$A120,2),1),RIGHT(LEFT('2024_Draft_team'!$A120,3),2))</f>
        <v>11</v>
      </c>
      <c r="J120" s="26">
        <f>IF(OR(AND(('2024_Draft_team'!$I120-4)&lt;=0,'2024_Draft_team'!$H120=TRUE),('2024_Draft_team'!$R120=TRUE)),"N/A",IF('2024_Draft_team'!$H120=TRUE,'2024_Draft_team'!$I120-4,'2024_Draft_team'!$I120-0))</f>
        <v>7</v>
      </c>
      <c r="K120" s="22" t="s">
        <v>227</v>
      </c>
      <c r="L120" s="22" t="s">
        <v>228</v>
      </c>
      <c r="M120" s="22" t="s">
        <v>567</v>
      </c>
      <c r="N120" s="22" t="s">
        <v>32</v>
      </c>
      <c r="O120" s="22" t="s">
        <v>110</v>
      </c>
      <c r="P120" s="22" t="s">
        <v>890</v>
      </c>
      <c r="Q120" s="22" t="str">
        <f>'2024_Draft_team'!$K120&amp;'2024_Draft_team'!$L120</f>
        <v>DKMetcalf</v>
      </c>
      <c r="R120" s="22" t="b">
        <f t="array" ref="R120">IFERROR((INDEX('2024_Transactions'!$J$2:$J$339,MATCH(1,('2024_Draft_team'!$Q120='2024_Transactions'!$C$2:$C$339)*('2024_Draft_team'!$B120='2024_Transactions'!$B$2:$B$339)*('2024_Transactions'!$J$2:$J$339="Dropped"),0))="Dropped"),FALSE)</f>
        <v>0</v>
      </c>
    </row>
    <row r="121" ht="14.25" customHeight="1">
      <c r="A121" s="22" t="s">
        <v>1298</v>
      </c>
      <c r="B121" s="22" t="s">
        <v>12</v>
      </c>
      <c r="C121" s="22" t="s">
        <v>1299</v>
      </c>
      <c r="D121" s="22" t="s">
        <v>897</v>
      </c>
      <c r="E121" s="22" t="s">
        <v>1300</v>
      </c>
      <c r="F121" s="22">
        <v>323.0</v>
      </c>
      <c r="G121" s="22">
        <v>283.0</v>
      </c>
      <c r="H121" s="22" t="b">
        <f>(RIGHT('2024_Draft_team'!$C121,8)="(Keeper)")</f>
        <v>1</v>
      </c>
      <c r="I121" s="25" t="str">
        <f>IF(RIGHT(LEFT('2024_Draft_team'!$A121,3))="/",RIGHT(LEFT('2024_Draft_team'!$A121,2),1),RIGHT(LEFT('2024_Draft_team'!$A121,3),2))</f>
        <v>12</v>
      </c>
      <c r="J121" s="26">
        <f>IF(OR(AND(('2024_Draft_team'!$I121-4)&lt;=0,'2024_Draft_team'!$H121=TRUE),('2024_Draft_team'!$R121=TRUE)),"N/A",IF('2024_Draft_team'!$H121=TRUE,'2024_Draft_team'!$I121-4,'2024_Draft_team'!$I121-0))</f>
        <v>8</v>
      </c>
      <c r="K121" s="22" t="s">
        <v>211</v>
      </c>
      <c r="L121" s="22" t="s">
        <v>212</v>
      </c>
      <c r="M121" s="22" t="s">
        <v>563</v>
      </c>
      <c r="N121" s="22" t="s">
        <v>32</v>
      </c>
      <c r="O121" s="22" t="s">
        <v>213</v>
      </c>
      <c r="P121" s="22" t="s">
        <v>890</v>
      </c>
      <c r="Q121" s="22" t="str">
        <f>'2024_Draft_team'!$K121&amp;'2024_Draft_team'!$L121</f>
        <v>KyzirWhite</v>
      </c>
      <c r="R121" s="22" t="b">
        <f t="array" ref="R121">IFERROR((INDEX('2024_Transactions'!$J$2:$J$339,MATCH(1,('2024_Draft_team'!$Q121='2024_Transactions'!$C$2:$C$339)*('2024_Draft_team'!$B121='2024_Transactions'!$B$2:$B$339)*('2024_Transactions'!$J$2:$J$339="Dropped"),0))="Dropped"),FALSE)</f>
        <v>0</v>
      </c>
    </row>
    <row r="122" ht="14.25" customHeight="1">
      <c r="A122" s="22" t="s">
        <v>1301</v>
      </c>
      <c r="B122" s="22" t="s">
        <v>12</v>
      </c>
      <c r="C122" s="22" t="s">
        <v>1302</v>
      </c>
      <c r="D122" s="22" t="s">
        <v>1303</v>
      </c>
      <c r="E122" s="22" t="s">
        <v>1304</v>
      </c>
      <c r="F122" s="22">
        <v>287.0</v>
      </c>
      <c r="G122" s="22">
        <v>16.0</v>
      </c>
      <c r="H122" s="22" t="b">
        <f>(RIGHT('2024_Draft_team'!$C122,8)="(Keeper)")</f>
        <v>0</v>
      </c>
      <c r="I122" s="25" t="str">
        <f>IF(RIGHT(LEFT('2024_Draft_team'!$A122,3))="/",RIGHT(LEFT('2024_Draft_team'!$A122,2),1),RIGHT(LEFT('2024_Draft_team'!$A122,3),2))</f>
        <v>13</v>
      </c>
      <c r="J122" s="26">
        <f>IF(OR(AND(('2024_Draft_team'!$I122-4)&lt;=0,'2024_Draft_team'!$H122=TRUE),('2024_Draft_team'!$R122=TRUE)),"N/A",IF('2024_Draft_team'!$H122=TRUE,'2024_Draft_team'!$I122-4,'2024_Draft_team'!$I122-0))</f>
        <v>13</v>
      </c>
      <c r="K122" s="22" t="s">
        <v>430</v>
      </c>
      <c r="L122" s="22" t="s">
        <v>597</v>
      </c>
      <c r="M122" s="22" t="s">
        <v>29</v>
      </c>
      <c r="N122" s="22" t="s">
        <v>32</v>
      </c>
      <c r="O122" s="22" t="s">
        <v>71</v>
      </c>
      <c r="P122" s="22"/>
      <c r="Q122" s="22" t="str">
        <f>'2024_Draft_team'!$K122&amp;'2024_Draft_team'!$L122</f>
        <v>WillLevis</v>
      </c>
      <c r="R122" s="22" t="b">
        <f t="array" ref="R122">IFERROR((INDEX('2024_Transactions'!$J$2:$J$339,MATCH(1,('2024_Draft_team'!$Q122='2024_Transactions'!$C$2:$C$339)*('2024_Draft_team'!$B122='2024_Transactions'!$B$2:$B$339)*('2024_Transactions'!$J$2:$J$339="Dropped"),0))="Dropped"),FALSE)</f>
        <v>0</v>
      </c>
    </row>
    <row r="123" ht="14.25" customHeight="1">
      <c r="A123" s="22" t="s">
        <v>1305</v>
      </c>
      <c r="B123" s="22" t="s">
        <v>12</v>
      </c>
      <c r="C123" s="22" t="s">
        <v>1306</v>
      </c>
      <c r="D123" s="22" t="s">
        <v>897</v>
      </c>
      <c r="E123" s="22" t="s">
        <v>1307</v>
      </c>
      <c r="F123" s="22">
        <v>77.0</v>
      </c>
      <c r="G123" s="22">
        <v>77.0</v>
      </c>
      <c r="H123" s="22" t="b">
        <f>(RIGHT('2024_Draft_team'!$C123,8)="(Keeper)")</f>
        <v>1</v>
      </c>
      <c r="I123" s="25" t="str">
        <f>IF(RIGHT(LEFT('2024_Draft_team'!$A123,3))="/",RIGHT(LEFT('2024_Draft_team'!$A123,2),1),RIGHT(LEFT('2024_Draft_team'!$A123,3),2))</f>
        <v>14</v>
      </c>
      <c r="J123" s="26">
        <f>IF(OR(AND(('2024_Draft_team'!$I123-4)&lt;=0,'2024_Draft_team'!$H123=TRUE),('2024_Draft_team'!$R123=TRUE)),"N/A",IF('2024_Draft_team'!$H123=TRUE,'2024_Draft_team'!$I123-4,'2024_Draft_team'!$I123-0))</f>
        <v>10</v>
      </c>
      <c r="K123" s="22" t="s">
        <v>239</v>
      </c>
      <c r="L123" s="22" t="s">
        <v>240</v>
      </c>
      <c r="M123" s="22" t="s">
        <v>563</v>
      </c>
      <c r="N123" s="22" t="s">
        <v>32</v>
      </c>
      <c r="O123" s="22" t="s">
        <v>218</v>
      </c>
      <c r="P123" s="22" t="s">
        <v>890</v>
      </c>
      <c r="Q123" s="22" t="str">
        <f>'2024_Draft_team'!$K123&amp;'2024_Draft_team'!$L123</f>
        <v>ShaqGreen-Thompson</v>
      </c>
      <c r="R123" s="22" t="b">
        <f t="array" ref="R123">IFERROR((INDEX('2024_Transactions'!$J$2:$J$339,MATCH(1,('2024_Draft_team'!$Q123='2024_Transactions'!$C$2:$C$339)*('2024_Draft_team'!$B123='2024_Transactions'!$B$2:$B$339)*('2024_Transactions'!$J$2:$J$339="Dropped"),0))="Dropped"),FALSE)</f>
        <v>0</v>
      </c>
    </row>
    <row r="124" ht="14.25" customHeight="1">
      <c r="A124" s="22" t="s">
        <v>1308</v>
      </c>
      <c r="B124" s="22" t="s">
        <v>12</v>
      </c>
      <c r="C124" s="22" t="s">
        <v>1309</v>
      </c>
      <c r="D124" s="22" t="s">
        <v>897</v>
      </c>
      <c r="E124" s="22" t="s">
        <v>1310</v>
      </c>
      <c r="F124" s="22">
        <v>343.0</v>
      </c>
      <c r="G124" s="22">
        <v>277.0</v>
      </c>
      <c r="H124" s="22" t="b">
        <f>(RIGHT('2024_Draft_team'!$C124,8)="(Keeper)")</f>
        <v>1</v>
      </c>
      <c r="I124" s="25" t="str">
        <f>IF(RIGHT(LEFT('2024_Draft_team'!$A124,3))="/",RIGHT(LEFT('2024_Draft_team'!$A124,2),1),RIGHT(LEFT('2024_Draft_team'!$A124,3),2))</f>
        <v>15</v>
      </c>
      <c r="J124" s="26">
        <f>IF(OR(AND(('2024_Draft_team'!$I124-4)&lt;=0,'2024_Draft_team'!$H124=TRUE),('2024_Draft_team'!$R124=TRUE)),"N/A",IF('2024_Draft_team'!$H124=TRUE,'2024_Draft_team'!$I124-4,'2024_Draft_team'!$I124-0))</f>
        <v>11</v>
      </c>
      <c r="K124" s="22" t="s">
        <v>196</v>
      </c>
      <c r="L124" s="22" t="s">
        <v>197</v>
      </c>
      <c r="M124" s="22" t="s">
        <v>567</v>
      </c>
      <c r="N124" s="22" t="s">
        <v>32</v>
      </c>
      <c r="O124" s="22" t="s">
        <v>136</v>
      </c>
      <c r="P124" s="22" t="s">
        <v>890</v>
      </c>
      <c r="Q124" s="22" t="str">
        <f>'2024_Draft_team'!$K124&amp;'2024_Draft_team'!$L124</f>
        <v>PukaNacua</v>
      </c>
      <c r="R124" s="22" t="b">
        <f t="array" ref="R124">IFERROR((INDEX('2024_Transactions'!$J$2:$J$339,MATCH(1,('2024_Draft_team'!$Q124='2024_Transactions'!$C$2:$C$339)*('2024_Draft_team'!$B124='2024_Transactions'!$B$2:$B$339)*('2024_Transactions'!$J$2:$J$339="Dropped"),0))="Dropped"),FALSE)</f>
        <v>0</v>
      </c>
    </row>
    <row r="125" ht="14.25" customHeight="1">
      <c r="A125" s="22" t="s">
        <v>1311</v>
      </c>
      <c r="B125" s="22" t="s">
        <v>12</v>
      </c>
      <c r="C125" s="22" t="s">
        <v>1312</v>
      </c>
      <c r="D125" s="22" t="s">
        <v>897</v>
      </c>
      <c r="E125" s="22" t="s">
        <v>1313</v>
      </c>
      <c r="F125" s="22">
        <v>212.0</v>
      </c>
      <c r="G125" s="22">
        <v>159.0</v>
      </c>
      <c r="H125" s="22" t="b">
        <f>(RIGHT('2024_Draft_team'!$C125,8)="(Keeper)")</f>
        <v>1</v>
      </c>
      <c r="I125" s="25" t="str">
        <f>IF(RIGHT(LEFT('2024_Draft_team'!$A125,3))="/",RIGHT(LEFT('2024_Draft_team'!$A125,2),1),RIGHT(LEFT('2024_Draft_team'!$A125,3),2))</f>
        <v>16</v>
      </c>
      <c r="J125" s="26">
        <f>IF(OR(AND(('2024_Draft_team'!$I125-4)&lt;=0,'2024_Draft_team'!$H125=TRUE),('2024_Draft_team'!$R125=TRUE)),"N/A",IF('2024_Draft_team'!$H125=TRUE,'2024_Draft_team'!$I125-4,'2024_Draft_team'!$I125-0))</f>
        <v>12</v>
      </c>
      <c r="K125" s="22" t="s">
        <v>180</v>
      </c>
      <c r="L125" s="22" t="s">
        <v>237</v>
      </c>
      <c r="M125" s="22" t="s">
        <v>567</v>
      </c>
      <c r="N125" s="22" t="s">
        <v>32</v>
      </c>
      <c r="O125" s="22" t="s">
        <v>238</v>
      </c>
      <c r="P125" s="22" t="s">
        <v>890</v>
      </c>
      <c r="Q125" s="22" t="str">
        <f>'2024_Draft_team'!$K125&amp;'2024_Draft_team'!$L125</f>
        <v>ChrisGodwin</v>
      </c>
      <c r="R125" s="22" t="b">
        <f t="array" ref="R125">IFERROR((INDEX('2024_Transactions'!$J$2:$J$339,MATCH(1,('2024_Draft_team'!$Q125='2024_Transactions'!$C$2:$C$339)*('2024_Draft_team'!$B125='2024_Transactions'!$B$2:$B$339)*('2024_Transactions'!$J$2:$J$339="Dropped"),0))="Dropped"),FALSE)</f>
        <v>0</v>
      </c>
    </row>
    <row r="126" ht="14.25" customHeight="1">
      <c r="A126" s="22" t="s">
        <v>1314</v>
      </c>
      <c r="B126" s="22" t="s">
        <v>12</v>
      </c>
      <c r="C126" s="22" t="s">
        <v>1315</v>
      </c>
      <c r="D126" s="22" t="s">
        <v>897</v>
      </c>
      <c r="E126" s="22" t="s">
        <v>1316</v>
      </c>
      <c r="F126" s="22">
        <v>325.0</v>
      </c>
      <c r="G126" s="22">
        <v>47.0</v>
      </c>
      <c r="H126" s="22" t="b">
        <f>(RIGHT('2024_Draft_team'!$C126,8)="(Keeper)")</f>
        <v>1</v>
      </c>
      <c r="I126" s="25" t="str">
        <f>IF(RIGHT(LEFT('2024_Draft_team'!$A126,3))="/",RIGHT(LEFT('2024_Draft_team'!$A126,2),1),RIGHT(LEFT('2024_Draft_team'!$A126,3),2))</f>
        <v>17</v>
      </c>
      <c r="J126" s="26">
        <f>IF(OR(AND(('2024_Draft_team'!$I126-4)&lt;=0,'2024_Draft_team'!$H126=TRUE),('2024_Draft_team'!$R126=TRUE)),"N/A",IF('2024_Draft_team'!$H126=TRUE,'2024_Draft_team'!$I126-4,'2024_Draft_team'!$I126-0))</f>
        <v>13</v>
      </c>
      <c r="K126" s="22" t="s">
        <v>221</v>
      </c>
      <c r="L126" s="22" t="s">
        <v>222</v>
      </c>
      <c r="M126" s="22" t="s">
        <v>39</v>
      </c>
      <c r="N126" s="22" t="s">
        <v>32</v>
      </c>
      <c r="O126" s="22" t="s">
        <v>66</v>
      </c>
      <c r="P126" s="22" t="s">
        <v>890</v>
      </c>
      <c r="Q126" s="22" t="str">
        <f>'2024_Draft_team'!$K126&amp;'2024_Draft_team'!$L126</f>
        <v>D'AndreSwift</v>
      </c>
      <c r="R126" s="22" t="b">
        <f t="array" ref="R126">IFERROR((INDEX('2024_Transactions'!$J$2:$J$339,MATCH(1,('2024_Draft_team'!$Q126='2024_Transactions'!$C$2:$C$339)*('2024_Draft_team'!$B126='2024_Transactions'!$B$2:$B$339)*('2024_Transactions'!$J$2:$J$339="Dropped"),0))="Dropped"),FALSE)</f>
        <v>0</v>
      </c>
    </row>
    <row r="127" ht="14.25" customHeight="1">
      <c r="A127" s="22" t="s">
        <v>1317</v>
      </c>
      <c r="B127" s="22" t="s">
        <v>12</v>
      </c>
      <c r="C127" s="22" t="s">
        <v>1318</v>
      </c>
      <c r="D127" s="22" t="s">
        <v>897</v>
      </c>
      <c r="E127" s="22" t="s">
        <v>1319</v>
      </c>
      <c r="F127" s="22">
        <v>411.0</v>
      </c>
      <c r="G127" s="22">
        <v>370.0</v>
      </c>
      <c r="H127" s="22" t="b">
        <f>(RIGHT('2024_Draft_team'!$C127,8)="(Keeper)")</f>
        <v>1</v>
      </c>
      <c r="I127" s="25" t="str">
        <f>IF(RIGHT(LEFT('2024_Draft_team'!$A127,3))="/",RIGHT(LEFT('2024_Draft_team'!$A127,2),1),RIGHT(LEFT('2024_Draft_team'!$A127,3),2))</f>
        <v>18</v>
      </c>
      <c r="J127" s="26">
        <f>IF(OR(AND(('2024_Draft_team'!$I127-4)&lt;=0,'2024_Draft_team'!$H127=TRUE),('2024_Draft_team'!$R127=TRUE)),"N/A",IF('2024_Draft_team'!$H127=TRUE,'2024_Draft_team'!$I127-4,'2024_Draft_team'!$I127-0))</f>
        <v>14</v>
      </c>
      <c r="K127" s="22" t="s">
        <v>200</v>
      </c>
      <c r="L127" s="22" t="s">
        <v>201</v>
      </c>
      <c r="M127" s="22" t="s">
        <v>563</v>
      </c>
      <c r="N127" s="22" t="s">
        <v>32</v>
      </c>
      <c r="O127" s="22" t="s">
        <v>63</v>
      </c>
      <c r="P127" s="22" t="s">
        <v>890</v>
      </c>
      <c r="Q127" s="22" t="str">
        <f>'2024_Draft_team'!$K127&amp;'2024_Draft_team'!$L127</f>
        <v>KadenElliss</v>
      </c>
      <c r="R127" s="22" t="b">
        <f t="array" ref="R127">IFERROR((INDEX('2024_Transactions'!$J$2:$J$339,MATCH(1,('2024_Draft_team'!$Q127='2024_Transactions'!$C$2:$C$339)*('2024_Draft_team'!$B127='2024_Transactions'!$B$2:$B$339)*('2024_Transactions'!$J$2:$J$339="Dropped"),0))="Dropped"),FALSE)</f>
        <v>0</v>
      </c>
    </row>
    <row r="128" ht="14.25" customHeight="1">
      <c r="A128" s="22" t="s">
        <v>1320</v>
      </c>
      <c r="B128" s="22" t="s">
        <v>12</v>
      </c>
      <c r="C128" s="22" t="s">
        <v>1321</v>
      </c>
      <c r="D128" s="22" t="s">
        <v>1322</v>
      </c>
      <c r="E128" s="22" t="s">
        <v>1323</v>
      </c>
      <c r="F128" s="22">
        <v>174.0</v>
      </c>
      <c r="G128" s="22">
        <v>11.0</v>
      </c>
      <c r="H128" s="22" t="b">
        <f>(RIGHT('2024_Draft_team'!$C128,8)="(Keeper)")</f>
        <v>0</v>
      </c>
      <c r="I128" s="25" t="str">
        <f>IF(RIGHT(LEFT('2024_Draft_team'!$A128,3))="/",RIGHT(LEFT('2024_Draft_team'!$A128,2),1),RIGHT(LEFT('2024_Draft_team'!$A128,3),2))</f>
        <v>19</v>
      </c>
      <c r="J128" s="26" t="str">
        <f>IF(OR(AND(('2024_Draft_team'!$I128-4)&lt;=0,'2024_Draft_team'!$H128=TRUE),('2024_Draft_team'!$R128=TRUE)),"N/A",IF('2024_Draft_team'!$H128=TRUE,'2024_Draft_team'!$I128-4,'2024_Draft_team'!$I128-0))</f>
        <v>N/A</v>
      </c>
      <c r="K128" s="22" t="s">
        <v>731</v>
      </c>
      <c r="L128" s="22" t="s">
        <v>732</v>
      </c>
      <c r="M128" s="22" t="s">
        <v>563</v>
      </c>
      <c r="N128" s="22" t="s">
        <v>32</v>
      </c>
      <c r="O128" s="22" t="s">
        <v>238</v>
      </c>
      <c r="P128" s="22"/>
      <c r="Q128" s="22" t="str">
        <f>'2024_Draft_team'!$K128&amp;'2024_Draft_team'!$L128</f>
        <v>K.J.Britt</v>
      </c>
      <c r="R128" s="22" t="b">
        <f t="array" ref="R128">IFERROR((INDEX('2024_Transactions'!$J$2:$J$339,MATCH(1,('2024_Draft_team'!$Q128='2024_Transactions'!$C$2:$C$339)*('2024_Draft_team'!$B128='2024_Transactions'!$B$2:$B$339)*('2024_Transactions'!$J$2:$J$339="Dropped"),0))="Dropped"),FALSE)</f>
        <v>1</v>
      </c>
    </row>
    <row r="129" ht="14.25" customHeight="1">
      <c r="A129" s="22" t="s">
        <v>1324</v>
      </c>
      <c r="B129" s="22" t="s">
        <v>12</v>
      </c>
      <c r="C129" s="22" t="s">
        <v>1325</v>
      </c>
      <c r="D129" s="22" t="s">
        <v>897</v>
      </c>
      <c r="E129" s="22" t="s">
        <v>1326</v>
      </c>
      <c r="F129" s="22">
        <v>350.0</v>
      </c>
      <c r="G129" s="22">
        <v>202.0</v>
      </c>
      <c r="H129" s="22" t="b">
        <f>(RIGHT('2024_Draft_team'!$C129,8)="(Keeper)")</f>
        <v>1</v>
      </c>
      <c r="I129" s="25" t="str">
        <f>IF(RIGHT(LEFT('2024_Draft_team'!$A129,3))="/",RIGHT(LEFT('2024_Draft_team'!$A129,2),1),RIGHT(LEFT('2024_Draft_team'!$A129,3),2))</f>
        <v>20</v>
      </c>
      <c r="J129" s="26">
        <f>IF(OR(AND(('2024_Draft_team'!$I129-4)&lt;=0,'2024_Draft_team'!$H129=TRUE),('2024_Draft_team'!$R129=TRUE)),"N/A",IF('2024_Draft_team'!$H129=TRUE,'2024_Draft_team'!$I129-4,'2024_Draft_team'!$I129-0))</f>
        <v>16</v>
      </c>
      <c r="K129" s="22" t="s">
        <v>202</v>
      </c>
      <c r="L129" s="22" t="s">
        <v>203</v>
      </c>
      <c r="M129" s="22" t="s">
        <v>573</v>
      </c>
      <c r="N129" s="22" t="s">
        <v>32</v>
      </c>
      <c r="O129" s="22" t="s">
        <v>179</v>
      </c>
      <c r="P129" s="22" t="s">
        <v>890</v>
      </c>
      <c r="Q129" s="22" t="str">
        <f>'2024_Draft_team'!$K129&amp;'2024_Draft_team'!$L129</f>
        <v>KyleHamilton</v>
      </c>
      <c r="R129" s="22" t="b">
        <f t="array" ref="R129">IFERROR((INDEX('2024_Transactions'!$J$2:$J$339,MATCH(1,('2024_Draft_team'!$Q129='2024_Transactions'!$C$2:$C$339)*('2024_Draft_team'!$B129='2024_Transactions'!$B$2:$B$339)*('2024_Transactions'!$J$2:$J$339="Dropped"),0))="Dropped"),FALSE)</f>
        <v>0</v>
      </c>
    </row>
    <row r="130" ht="14.25" customHeight="1">
      <c r="A130" s="22" t="s">
        <v>1327</v>
      </c>
      <c r="B130" s="22" t="s">
        <v>12</v>
      </c>
      <c r="C130" s="22" t="s">
        <v>1328</v>
      </c>
      <c r="D130" s="22" t="s">
        <v>1329</v>
      </c>
      <c r="E130" s="22" t="s">
        <v>1330</v>
      </c>
      <c r="F130" s="22">
        <v>70.0</v>
      </c>
      <c r="G130" s="22">
        <v>2.0</v>
      </c>
      <c r="H130" s="22" t="b">
        <f>(RIGHT('2024_Draft_team'!$C130,8)="(Keeper)")</f>
        <v>0</v>
      </c>
      <c r="I130" s="25" t="str">
        <f>IF(RIGHT(LEFT('2024_Draft_team'!$A130,3))="/",RIGHT(LEFT('2024_Draft_team'!$A130,2),1),RIGHT(LEFT('2024_Draft_team'!$A130,3),2))</f>
        <v>21</v>
      </c>
      <c r="J130" s="26">
        <f>IF(OR(AND(('2024_Draft_team'!$I130-4)&lt;=0,'2024_Draft_team'!$H130=TRUE),('2024_Draft_team'!$R130=TRUE)),"N/A",IF('2024_Draft_team'!$H130=TRUE,'2024_Draft_team'!$I130-4,'2024_Draft_team'!$I130-0))</f>
        <v>21</v>
      </c>
      <c r="K130" s="22" t="s">
        <v>225</v>
      </c>
      <c r="L130" s="22" t="s">
        <v>686</v>
      </c>
      <c r="M130" s="22" t="s">
        <v>39</v>
      </c>
      <c r="N130" s="22" t="s">
        <v>32</v>
      </c>
      <c r="O130" s="22" t="s">
        <v>213</v>
      </c>
      <c r="P130" s="22"/>
      <c r="Q130" s="22" t="str">
        <f>'2024_Draft_team'!$K130&amp;'2024_Draft_team'!$L130</f>
        <v>TreyBenson</v>
      </c>
      <c r="R130" s="22" t="b">
        <f t="array" ref="R130">IFERROR((INDEX('2024_Transactions'!$J$2:$J$339,MATCH(1,('2024_Draft_team'!$Q130='2024_Transactions'!$C$2:$C$339)*('2024_Draft_team'!$B130='2024_Transactions'!$B$2:$B$339)*('2024_Transactions'!$J$2:$J$339="Dropped"),0))="Dropped"),FALSE)</f>
        <v>0</v>
      </c>
    </row>
    <row r="131" ht="14.25" customHeight="1">
      <c r="A131" s="22" t="s">
        <v>1331</v>
      </c>
      <c r="B131" s="22" t="s">
        <v>12</v>
      </c>
      <c r="C131" s="22" t="s">
        <v>1332</v>
      </c>
      <c r="D131" s="22" t="s">
        <v>897</v>
      </c>
      <c r="E131" s="22" t="s">
        <v>1333</v>
      </c>
      <c r="F131" s="22">
        <v>170.0</v>
      </c>
      <c r="G131" s="22">
        <v>0.0</v>
      </c>
      <c r="H131" s="22" t="b">
        <f>(RIGHT('2024_Draft_team'!$C131,8)="(Keeper)")</f>
        <v>1</v>
      </c>
      <c r="I131" s="25" t="str">
        <f>IF(RIGHT(LEFT('2024_Draft_team'!$A131,3))="/",RIGHT(LEFT('2024_Draft_team'!$A131,2),1),RIGHT(LEFT('2024_Draft_team'!$A131,3),2))</f>
        <v>22</v>
      </c>
      <c r="J131" s="26">
        <f>IF(OR(AND(('2024_Draft_team'!$I131-4)&lt;=0,'2024_Draft_team'!$H131=TRUE),('2024_Draft_team'!$R131=TRUE)),"N/A",IF('2024_Draft_team'!$H131=TRUE,'2024_Draft_team'!$I131-4,'2024_Draft_team'!$I131-0))</f>
        <v>18</v>
      </c>
      <c r="K131" s="22" t="s">
        <v>223</v>
      </c>
      <c r="L131" s="22" t="s">
        <v>224</v>
      </c>
      <c r="M131" s="22" t="s">
        <v>39</v>
      </c>
      <c r="N131" s="22" t="s">
        <v>32</v>
      </c>
      <c r="O131" s="22" t="s">
        <v>170</v>
      </c>
      <c r="P131" s="22" t="s">
        <v>890</v>
      </c>
      <c r="Q131" s="22" t="str">
        <f>'2024_Draft_team'!$K131&amp;'2024_Draft_team'!$L131</f>
        <v>JaylenWarren</v>
      </c>
      <c r="R131" s="22" t="b">
        <f t="array" ref="R131">IFERROR((INDEX('2024_Transactions'!$J$2:$J$339,MATCH(1,('2024_Draft_team'!$Q131='2024_Transactions'!$C$2:$C$339)*('2024_Draft_team'!$B131='2024_Transactions'!$B$2:$B$339)*('2024_Transactions'!$J$2:$J$339="Dropped"),0))="Dropped"),FALSE)</f>
        <v>0</v>
      </c>
    </row>
    <row r="132" ht="14.25" customHeight="1">
      <c r="A132" s="22" t="s">
        <v>1334</v>
      </c>
      <c r="B132" s="22" t="s">
        <v>12</v>
      </c>
      <c r="C132" s="22" t="s">
        <v>1335</v>
      </c>
      <c r="D132" s="22" t="s">
        <v>1336</v>
      </c>
      <c r="E132" s="22" t="s">
        <v>1337</v>
      </c>
      <c r="F132" s="22">
        <v>394.0</v>
      </c>
      <c r="G132" s="22">
        <v>0.0</v>
      </c>
      <c r="H132" s="22" t="b">
        <f>(RIGHT('2024_Draft_team'!$C132,8)="(Keeper)")</f>
        <v>0</v>
      </c>
      <c r="I132" s="25" t="str">
        <f>IF(RIGHT(LEFT('2024_Draft_team'!$A132,3))="/",RIGHT(LEFT('2024_Draft_team'!$A132,2),1),RIGHT(LEFT('2024_Draft_team'!$A132,3),2))</f>
        <v>23</v>
      </c>
      <c r="J132" s="26">
        <f>IF(OR(AND(('2024_Draft_team'!$I132-4)&lt;=0,'2024_Draft_team'!$H132=TRUE),('2024_Draft_team'!$R132=TRUE)),"N/A",IF('2024_Draft_team'!$H132=TRUE,'2024_Draft_team'!$I132-4,'2024_Draft_team'!$I132-0))</f>
        <v>23</v>
      </c>
      <c r="K132" s="22" t="s">
        <v>225</v>
      </c>
      <c r="L132" s="22" t="s">
        <v>226</v>
      </c>
      <c r="M132" s="22" t="s">
        <v>650</v>
      </c>
      <c r="N132" s="22" t="s">
        <v>32</v>
      </c>
      <c r="O132" s="22" t="s">
        <v>213</v>
      </c>
      <c r="P132" s="22"/>
      <c r="Q132" s="22" t="str">
        <f>'2024_Draft_team'!$K132&amp;'2024_Draft_team'!$L132</f>
        <v>TreyMcBride</v>
      </c>
      <c r="R132" s="22" t="b">
        <f t="array" ref="R132">IFERROR((INDEX('2024_Transactions'!$J$2:$J$339,MATCH(1,('2024_Draft_team'!$Q132='2024_Transactions'!$C$2:$C$339)*('2024_Draft_team'!$B132='2024_Transactions'!$B$2:$B$339)*('2024_Transactions'!$J$2:$J$339="Dropped"),0))="Dropped"),FALSE)</f>
        <v>0</v>
      </c>
    </row>
    <row r="133" ht="14.25" customHeight="1">
      <c r="A133" s="22" t="s">
        <v>1338</v>
      </c>
      <c r="B133" s="22" t="s">
        <v>12</v>
      </c>
      <c r="C133" s="22" t="s">
        <v>1339</v>
      </c>
      <c r="D133" s="22" t="s">
        <v>1340</v>
      </c>
      <c r="E133" s="22" t="s">
        <v>1341</v>
      </c>
      <c r="F133" s="22">
        <v>224.0</v>
      </c>
      <c r="G133" s="22">
        <v>15.0</v>
      </c>
      <c r="H133" s="22" t="b">
        <f>(RIGHT('2024_Draft_team'!$C133,8)="(Keeper)")</f>
        <v>0</v>
      </c>
      <c r="I133" s="25" t="str">
        <f>IF(RIGHT(LEFT('2024_Draft_team'!$A133,3))="/",RIGHT(LEFT('2024_Draft_team'!$A133,2),1),RIGHT(LEFT('2024_Draft_team'!$A133,3),2))</f>
        <v>24</v>
      </c>
      <c r="J133" s="26">
        <f>IF(OR(AND(('2024_Draft_team'!$I133-4)&lt;=0,'2024_Draft_team'!$H133=TRUE),('2024_Draft_team'!$R133=TRUE)),"N/A",IF('2024_Draft_team'!$H133=TRUE,'2024_Draft_team'!$I133-4,'2024_Draft_team'!$I133-0))</f>
        <v>24</v>
      </c>
      <c r="K133" s="22" t="s">
        <v>590</v>
      </c>
      <c r="L133" s="22" t="s">
        <v>595</v>
      </c>
      <c r="M133" s="22" t="s">
        <v>563</v>
      </c>
      <c r="N133" s="22" t="s">
        <v>32</v>
      </c>
      <c r="O133" s="22" t="s">
        <v>45</v>
      </c>
      <c r="P133" s="22"/>
      <c r="Q133" s="22" t="str">
        <f>'2024_Draft_team'!$K133&amp;'2024_Draft_team'!$L133</f>
        <v>IsaiahMcDuffie</v>
      </c>
      <c r="R133" s="22" t="b">
        <f t="array" ref="R133">IFERROR((INDEX('2024_Transactions'!$J$2:$J$339,MATCH(1,('2024_Draft_team'!$Q133='2024_Transactions'!$C$2:$C$339)*('2024_Draft_team'!$B133='2024_Transactions'!$B$2:$B$339)*('2024_Transactions'!$J$2:$J$339="Dropped"),0))="Dropped"),FALSE)</f>
        <v>0</v>
      </c>
    </row>
    <row r="134" ht="14.25" customHeight="1">
      <c r="A134" s="22" t="s">
        <v>1342</v>
      </c>
      <c r="B134" s="22" t="s">
        <v>12</v>
      </c>
      <c r="C134" s="22" t="s">
        <v>1343</v>
      </c>
      <c r="D134" s="22" t="s">
        <v>1344</v>
      </c>
      <c r="E134" s="22" t="s">
        <v>1345</v>
      </c>
      <c r="F134" s="22">
        <v>391.0</v>
      </c>
      <c r="G134" s="22">
        <v>109.0</v>
      </c>
      <c r="H134" s="22" t="b">
        <f>(RIGHT('2024_Draft_team'!$C134,8)="(Keeper)")</f>
        <v>0</v>
      </c>
      <c r="I134" s="25" t="str">
        <f>IF(RIGHT(LEFT('2024_Draft_team'!$A134,3))="/",RIGHT(LEFT('2024_Draft_team'!$A134,2),1),RIGHT(LEFT('2024_Draft_team'!$A134,3),2))</f>
        <v>25</v>
      </c>
      <c r="J134" s="26">
        <f>IF(OR(AND(('2024_Draft_team'!$I134-4)&lt;=0,'2024_Draft_team'!$H134=TRUE),('2024_Draft_team'!$R134=TRUE)),"N/A",IF('2024_Draft_team'!$H134=TRUE,'2024_Draft_team'!$I134-4,'2024_Draft_team'!$I134-0))</f>
        <v>25</v>
      </c>
      <c r="K134" s="22" t="s">
        <v>216</v>
      </c>
      <c r="L134" s="22" t="s">
        <v>217</v>
      </c>
      <c r="M134" s="22" t="s">
        <v>39</v>
      </c>
      <c r="N134" s="22" t="s">
        <v>32</v>
      </c>
      <c r="O134" s="22" t="s">
        <v>218</v>
      </c>
      <c r="P134" s="22"/>
      <c r="Q134" s="22" t="str">
        <f>'2024_Draft_team'!$K134&amp;'2024_Draft_team'!$L134</f>
        <v>ChubaHubbard</v>
      </c>
      <c r="R134" s="22" t="b">
        <f t="array" ref="R134">IFERROR((INDEX('2024_Transactions'!$J$2:$J$339,MATCH(1,('2024_Draft_team'!$Q134='2024_Transactions'!$C$2:$C$339)*('2024_Draft_team'!$B134='2024_Transactions'!$B$2:$B$339)*('2024_Transactions'!$J$2:$J$339="Dropped"),0))="Dropped"),FALSE)</f>
        <v>0</v>
      </c>
    </row>
    <row r="135" ht="14.25" customHeight="1">
      <c r="A135" s="22" t="s">
        <v>1346</v>
      </c>
      <c r="B135" s="22" t="s">
        <v>12</v>
      </c>
      <c r="C135" s="22" t="s">
        <v>1347</v>
      </c>
      <c r="D135" s="22" t="s">
        <v>1348</v>
      </c>
      <c r="E135" s="22" t="s">
        <v>1349</v>
      </c>
      <c r="F135" s="22">
        <v>382.0</v>
      </c>
      <c r="G135" s="22">
        <v>342.0</v>
      </c>
      <c r="H135" s="22" t="b">
        <f>(RIGHT('2024_Draft_team'!$C135,8)="(Keeper)")</f>
        <v>0</v>
      </c>
      <c r="I135" s="25" t="str">
        <f>IF(RIGHT(LEFT('2024_Draft_team'!$A135,3))="/",RIGHT(LEFT('2024_Draft_team'!$A135,2),1),RIGHT(LEFT('2024_Draft_team'!$A135,3),2))</f>
        <v>26</v>
      </c>
      <c r="J135" s="26">
        <f>IF(OR(AND(('2024_Draft_team'!$I135-4)&lt;=0,'2024_Draft_team'!$H135=TRUE),('2024_Draft_team'!$R135=TRUE)),"N/A",IF('2024_Draft_team'!$H135=TRUE,'2024_Draft_team'!$I135-4,'2024_Draft_team'!$I135-0))</f>
        <v>26</v>
      </c>
      <c r="K135" s="22" t="s">
        <v>198</v>
      </c>
      <c r="L135" s="22" t="s">
        <v>199</v>
      </c>
      <c r="M135" s="22" t="s">
        <v>55</v>
      </c>
      <c r="N135" s="22" t="s">
        <v>32</v>
      </c>
      <c r="O135" s="22" t="s">
        <v>172</v>
      </c>
      <c r="P135" s="22"/>
      <c r="Q135" s="22" t="str">
        <f>'2024_Draft_team'!$K135&amp;'2024_Draft_team'!$L135</f>
        <v>Ka'imiFairbairn</v>
      </c>
      <c r="R135" s="22" t="b">
        <f t="array" ref="R135">IFERROR((INDEX('2024_Transactions'!$J$2:$J$339,MATCH(1,('2024_Draft_team'!$Q135='2024_Transactions'!$C$2:$C$339)*('2024_Draft_team'!$B135='2024_Transactions'!$B$2:$B$339)*('2024_Transactions'!$J$2:$J$339="Dropped"),0))="Dropped"),FALSE)</f>
        <v>0</v>
      </c>
    </row>
    <row r="136" ht="14.25" customHeight="1">
      <c r="A136" s="22" t="s">
        <v>1350</v>
      </c>
      <c r="B136" s="22" t="s">
        <v>12</v>
      </c>
      <c r="C136" s="22" t="s">
        <v>1351</v>
      </c>
      <c r="D136" s="22" t="s">
        <v>1352</v>
      </c>
      <c r="E136" s="22" t="s">
        <v>1353</v>
      </c>
      <c r="F136" s="22">
        <v>278.0</v>
      </c>
      <c r="G136" s="22">
        <v>117.0</v>
      </c>
      <c r="H136" s="22" t="b">
        <f>(RIGHT('2024_Draft_team'!$C136,8)="(Keeper)")</f>
        <v>0</v>
      </c>
      <c r="I136" s="25" t="str">
        <f>IF(RIGHT(LEFT('2024_Draft_team'!$A136,3))="/",RIGHT(LEFT('2024_Draft_team'!$A136,2),1),RIGHT(LEFT('2024_Draft_team'!$A136,3),2))</f>
        <v>27</v>
      </c>
      <c r="J136" s="26">
        <f>IF(OR(AND(('2024_Draft_team'!$I136-4)&lt;=0,'2024_Draft_team'!$H136=TRUE),('2024_Draft_team'!$R136=TRUE)),"N/A",IF('2024_Draft_team'!$H136=TRUE,'2024_Draft_team'!$I136-4,'2024_Draft_team'!$I136-0))</f>
        <v>27</v>
      </c>
      <c r="K136" s="22" t="s">
        <v>149</v>
      </c>
      <c r="L136" s="22" t="s">
        <v>235</v>
      </c>
      <c r="M136" s="22" t="s">
        <v>563</v>
      </c>
      <c r="N136" s="22" t="s">
        <v>32</v>
      </c>
      <c r="O136" s="22" t="s">
        <v>82</v>
      </c>
      <c r="P136" s="22"/>
      <c r="Q136" s="22" t="str">
        <f>'2024_Draft_team'!$K136&amp;'2024_Draft_team'!$L136</f>
        <v>MicahMcFadden</v>
      </c>
      <c r="R136" s="22" t="b">
        <f t="array" ref="R136">IFERROR((INDEX('2024_Transactions'!$J$2:$J$339,MATCH(1,('2024_Draft_team'!$Q136='2024_Transactions'!$C$2:$C$339)*('2024_Draft_team'!$B136='2024_Transactions'!$B$2:$B$339)*('2024_Transactions'!$J$2:$J$339="Dropped"),0))="Dropped"),FALSE)</f>
        <v>0</v>
      </c>
    </row>
    <row r="137" ht="14.25" customHeight="1">
      <c r="A137" s="22" t="s">
        <v>1354</v>
      </c>
      <c r="B137" s="22" t="s">
        <v>13</v>
      </c>
      <c r="C137" s="22" t="s">
        <v>1355</v>
      </c>
      <c r="D137" s="22" t="s">
        <v>897</v>
      </c>
      <c r="E137" s="22" t="s">
        <v>1356</v>
      </c>
      <c r="F137" s="22">
        <v>931.0</v>
      </c>
      <c r="G137" s="22">
        <v>688.0</v>
      </c>
      <c r="H137" s="22" t="b">
        <f>(RIGHT('2024_Draft_team'!$C137,8)="(Keeper)")</f>
        <v>1</v>
      </c>
      <c r="I137" s="25" t="str">
        <f>IF(RIGHT(LEFT('2024_Draft_team'!$A137,3))="/",RIGHT(LEFT('2024_Draft_team'!$A137,2),1),RIGHT(LEFT('2024_Draft_team'!$A137,3),2))</f>
        <v>1</v>
      </c>
      <c r="J137" s="26" t="str">
        <f>IF(OR(AND(('2024_Draft_team'!$I137-4)&lt;=0,'2024_Draft_team'!$H137=TRUE),('2024_Draft_team'!$R137=TRUE)),"N/A",IF('2024_Draft_team'!$H137=TRUE,'2024_Draft_team'!$I137-4,'2024_Draft_team'!$I137-0))</f>
        <v>N/A</v>
      </c>
      <c r="K137" s="22" t="s">
        <v>43</v>
      </c>
      <c r="L137" s="22" t="s">
        <v>94</v>
      </c>
      <c r="M137" s="22" t="s">
        <v>29</v>
      </c>
      <c r="N137" s="22" t="s">
        <v>32</v>
      </c>
      <c r="O137" s="22" t="s">
        <v>93</v>
      </c>
      <c r="P137" s="22" t="s">
        <v>890</v>
      </c>
      <c r="Q137" s="22" t="str">
        <f>'2024_Draft_team'!$K137&amp;'2024_Draft_team'!$L137</f>
        <v>JoshAllen</v>
      </c>
      <c r="R137" s="22" t="b">
        <f t="array" ref="R137">IFERROR((INDEX('2024_Transactions'!$J$2:$J$339,MATCH(1,('2024_Draft_team'!$Q137='2024_Transactions'!$C$2:$C$339)*('2024_Draft_team'!$B137='2024_Transactions'!$B$2:$B$339)*('2024_Transactions'!$J$2:$J$339="Dropped"),0))="Dropped"),FALSE)</f>
        <v>0</v>
      </c>
    </row>
    <row r="138" ht="14.25" customHeight="1">
      <c r="A138" s="22" t="s">
        <v>1357</v>
      </c>
      <c r="B138" s="22" t="s">
        <v>13</v>
      </c>
      <c r="C138" s="22" t="s">
        <v>1358</v>
      </c>
      <c r="D138" s="22" t="s">
        <v>897</v>
      </c>
      <c r="E138" s="22" t="s">
        <v>1359</v>
      </c>
      <c r="F138" s="22">
        <v>536.0</v>
      </c>
      <c r="G138" s="22">
        <v>480.0</v>
      </c>
      <c r="H138" s="22" t="b">
        <f>(RIGHT('2024_Draft_team'!$C138,8)="(Keeper)")</f>
        <v>1</v>
      </c>
      <c r="I138" s="25" t="str">
        <f>IF(RIGHT(LEFT('2024_Draft_team'!$A138,3))="/",RIGHT(LEFT('2024_Draft_team'!$A138,2),1),RIGHT(LEFT('2024_Draft_team'!$A138,3),2))</f>
        <v>2</v>
      </c>
      <c r="J138" s="26" t="str">
        <f>IF(OR(AND(('2024_Draft_team'!$I138-4)&lt;=0,'2024_Draft_team'!$H138=TRUE),('2024_Draft_team'!$R138=TRUE)),"N/A",IF('2024_Draft_team'!$H138=TRUE,'2024_Draft_team'!$I138-4,'2024_Draft_team'!$I138-0))</f>
        <v>N/A</v>
      </c>
      <c r="K138" s="22" t="s">
        <v>336</v>
      </c>
      <c r="L138" s="22" t="s">
        <v>159</v>
      </c>
      <c r="M138" s="22" t="s">
        <v>39</v>
      </c>
      <c r="N138" s="22" t="s">
        <v>32</v>
      </c>
      <c r="O138" s="22" t="s">
        <v>63</v>
      </c>
      <c r="P138" s="22" t="s">
        <v>890</v>
      </c>
      <c r="Q138" s="22" t="str">
        <f>'2024_Draft_team'!$K138&amp;'2024_Draft_team'!$L138</f>
        <v>BijanRobinson</v>
      </c>
      <c r="R138" s="22" t="b">
        <f t="array" ref="R138">IFERROR((INDEX('2024_Transactions'!$J$2:$J$339,MATCH(1,('2024_Draft_team'!$Q138='2024_Transactions'!$C$2:$C$339)*('2024_Draft_team'!$B138='2024_Transactions'!$B$2:$B$339)*('2024_Transactions'!$J$2:$J$339="Dropped"),0))="Dropped"),FALSE)</f>
        <v>0</v>
      </c>
    </row>
    <row r="139" ht="14.25" customHeight="1">
      <c r="A139" s="22" t="s">
        <v>1360</v>
      </c>
      <c r="B139" s="22" t="s">
        <v>13</v>
      </c>
      <c r="C139" s="22" t="s">
        <v>1361</v>
      </c>
      <c r="D139" s="22" t="s">
        <v>897</v>
      </c>
      <c r="E139" s="22" t="s">
        <v>1362</v>
      </c>
      <c r="F139" s="22">
        <v>384.0</v>
      </c>
      <c r="G139" s="22">
        <v>300.0</v>
      </c>
      <c r="H139" s="22" t="b">
        <f>(RIGHT('2024_Draft_team'!$C139,8)="(Keeper)")</f>
        <v>1</v>
      </c>
      <c r="I139" s="25" t="str">
        <f>IF(RIGHT(LEFT('2024_Draft_team'!$A139,3))="/",RIGHT(LEFT('2024_Draft_team'!$A139,2),1),RIGHT(LEFT('2024_Draft_team'!$A139,3),2))</f>
        <v>3</v>
      </c>
      <c r="J139" s="26" t="str">
        <f>IF(OR(AND(('2024_Draft_team'!$I139-4)&lt;=0,'2024_Draft_team'!$H139=TRUE),('2024_Draft_team'!$R139=TRUE)),"N/A",IF('2024_Draft_team'!$H139=TRUE,'2024_Draft_team'!$I139-4,'2024_Draft_team'!$I139-0))</f>
        <v>N/A</v>
      </c>
      <c r="K139" s="22" t="s">
        <v>40</v>
      </c>
      <c r="L139" s="22" t="s">
        <v>345</v>
      </c>
      <c r="M139" s="22" t="s">
        <v>563</v>
      </c>
      <c r="N139" s="22" t="s">
        <v>32</v>
      </c>
      <c r="O139" s="22" t="s">
        <v>90</v>
      </c>
      <c r="P139" s="22" t="s">
        <v>890</v>
      </c>
      <c r="Q139" s="22" t="str">
        <f>'2024_Draft_team'!$K139&amp;'2024_Draft_team'!$L139</f>
        <v>NickBolton</v>
      </c>
      <c r="R139" s="22" t="b">
        <f t="array" ref="R139">IFERROR((INDEX('2024_Transactions'!$J$2:$J$339,MATCH(1,('2024_Draft_team'!$Q139='2024_Transactions'!$C$2:$C$339)*('2024_Draft_team'!$B139='2024_Transactions'!$B$2:$B$339)*('2024_Transactions'!$J$2:$J$339="Dropped"),0))="Dropped"),FALSE)</f>
        <v>0</v>
      </c>
    </row>
    <row r="140" ht="14.25" customHeight="1">
      <c r="A140" s="22" t="s">
        <v>1363</v>
      </c>
      <c r="B140" s="22" t="s">
        <v>13</v>
      </c>
      <c r="C140" s="22" t="s">
        <v>1364</v>
      </c>
      <c r="D140" s="22" t="s">
        <v>1365</v>
      </c>
      <c r="E140" s="22" t="s">
        <v>1366</v>
      </c>
      <c r="F140" s="22">
        <v>416.0</v>
      </c>
      <c r="G140" s="22">
        <v>351.0</v>
      </c>
      <c r="H140" s="22" t="b">
        <f>(RIGHT('2024_Draft_team'!$C140,8)="(Keeper)")</f>
        <v>0</v>
      </c>
      <c r="I140" s="25" t="str">
        <f>IF(RIGHT(LEFT('2024_Draft_team'!$A140,3))="/",RIGHT(LEFT('2024_Draft_team'!$A140,2),1),RIGHT(LEFT('2024_Draft_team'!$A140,3),2))</f>
        <v>4</v>
      </c>
      <c r="J140" s="26">
        <f>IF(OR(AND(('2024_Draft_team'!$I140-4)&lt;=0,'2024_Draft_team'!$H140=TRUE),('2024_Draft_team'!$R140=TRUE)),"N/A",IF('2024_Draft_team'!$H140=TRUE,'2024_Draft_team'!$I140-4,'2024_Draft_team'!$I140-0))</f>
        <v>4</v>
      </c>
      <c r="K140" s="22" t="s">
        <v>340</v>
      </c>
      <c r="L140" s="22" t="s">
        <v>341</v>
      </c>
      <c r="M140" s="22" t="s">
        <v>567</v>
      </c>
      <c r="N140" s="22" t="s">
        <v>32</v>
      </c>
      <c r="O140" s="22" t="s">
        <v>82</v>
      </c>
      <c r="P140" s="22"/>
      <c r="Q140" s="22" t="str">
        <f>'2024_Draft_team'!$K140&amp;'2024_Draft_team'!$L140</f>
        <v>MalikNabers</v>
      </c>
      <c r="R140" s="22" t="b">
        <f t="array" ref="R140">IFERROR((INDEX('2024_Transactions'!$J$2:$J$339,MATCH(1,('2024_Draft_team'!$Q140='2024_Transactions'!$C$2:$C$339)*('2024_Draft_team'!$B140='2024_Transactions'!$B$2:$B$339)*('2024_Transactions'!$J$2:$J$339="Dropped"),0))="Dropped"),FALSE)</f>
        <v>0</v>
      </c>
    </row>
    <row r="141" ht="14.25" customHeight="1">
      <c r="A141" s="22" t="s">
        <v>1367</v>
      </c>
      <c r="B141" s="22" t="s">
        <v>13</v>
      </c>
      <c r="C141" s="22" t="s">
        <v>1368</v>
      </c>
      <c r="D141" s="22" t="s">
        <v>897</v>
      </c>
      <c r="E141" s="22" t="s">
        <v>1369</v>
      </c>
      <c r="F141" s="22">
        <v>258.0</v>
      </c>
      <c r="G141" s="22">
        <v>177.0</v>
      </c>
      <c r="H141" s="22" t="b">
        <f>(RIGHT('2024_Draft_team'!$C141,8)="(Keeper)")</f>
        <v>1</v>
      </c>
      <c r="I141" s="25" t="str">
        <f>IF(RIGHT(LEFT('2024_Draft_team'!$A141,3))="/",RIGHT(LEFT('2024_Draft_team'!$A141,2),1),RIGHT(LEFT('2024_Draft_team'!$A141,3),2))</f>
        <v>5</v>
      </c>
      <c r="J141" s="26">
        <f>IF(OR(AND(('2024_Draft_team'!$I141-4)&lt;=0,'2024_Draft_team'!$H141=TRUE),('2024_Draft_team'!$R141=TRUE)),"N/A",IF('2024_Draft_team'!$H141=TRUE,'2024_Draft_team'!$I141-4,'2024_Draft_team'!$I141-0))</f>
        <v>1</v>
      </c>
      <c r="K141" s="22" t="s">
        <v>40</v>
      </c>
      <c r="L141" s="22" t="s">
        <v>260</v>
      </c>
      <c r="M141" s="22" t="s">
        <v>604</v>
      </c>
      <c r="N141" s="22" t="s">
        <v>32</v>
      </c>
      <c r="O141" s="22" t="s">
        <v>37</v>
      </c>
      <c r="P141" s="22" t="s">
        <v>890</v>
      </c>
      <c r="Q141" s="22" t="str">
        <f>'2024_Draft_team'!$K141&amp;'2024_Draft_team'!$L141</f>
        <v>NickBosa</v>
      </c>
      <c r="R141" s="22" t="b">
        <f t="array" ref="R141">IFERROR((INDEX('2024_Transactions'!$J$2:$J$339,MATCH(1,('2024_Draft_team'!$Q141='2024_Transactions'!$C$2:$C$339)*('2024_Draft_team'!$B141='2024_Transactions'!$B$2:$B$339)*('2024_Transactions'!$J$2:$J$339="Dropped"),0))="Dropped"),FALSE)</f>
        <v>0</v>
      </c>
    </row>
    <row r="142" ht="14.25" customHeight="1">
      <c r="A142" s="22" t="s">
        <v>1370</v>
      </c>
      <c r="B142" s="22" t="s">
        <v>13</v>
      </c>
      <c r="C142" s="22" t="s">
        <v>1371</v>
      </c>
      <c r="D142" s="22" t="s">
        <v>1083</v>
      </c>
      <c r="E142" s="22" t="s">
        <v>1372</v>
      </c>
      <c r="F142" s="22">
        <v>367.0</v>
      </c>
      <c r="G142" s="22">
        <v>319.0</v>
      </c>
      <c r="H142" s="22" t="b">
        <f>(RIGHT('2024_Draft_team'!$C142,8)="(Keeper)")</f>
        <v>0</v>
      </c>
      <c r="I142" s="25" t="str">
        <f>IF(RIGHT(LEFT('2024_Draft_team'!$A142,3))="/",RIGHT(LEFT('2024_Draft_team'!$A142,2),1),RIGHT(LEFT('2024_Draft_team'!$A142,3),2))</f>
        <v>6</v>
      </c>
      <c r="J142" s="26">
        <f>IF(OR(AND(('2024_Draft_team'!$I142-4)&lt;=0,'2024_Draft_team'!$H142=TRUE),('2024_Draft_team'!$R142=TRUE)),"N/A",IF('2024_Draft_team'!$H142=TRUE,'2024_Draft_team'!$I142-4,'2024_Draft_team'!$I142-0))</f>
        <v>6</v>
      </c>
      <c r="K142" s="22" t="s">
        <v>349</v>
      </c>
      <c r="L142" s="22" t="s">
        <v>350</v>
      </c>
      <c r="M142" s="22" t="s">
        <v>563</v>
      </c>
      <c r="N142" s="22" t="s">
        <v>32</v>
      </c>
      <c r="O142" s="22" t="s">
        <v>105</v>
      </c>
      <c r="P142" s="22"/>
      <c r="Q142" s="22" t="str">
        <f>'2024_Draft_team'!$K142&amp;'2024_Draft_team'!$L142</f>
        <v>E.J.Speed</v>
      </c>
      <c r="R142" s="22" t="b">
        <f t="array" ref="R142">IFERROR((INDEX('2024_Transactions'!$J$2:$J$339,MATCH(1,('2024_Draft_team'!$Q142='2024_Transactions'!$C$2:$C$339)*('2024_Draft_team'!$B142='2024_Transactions'!$B$2:$B$339)*('2024_Transactions'!$J$2:$J$339="Dropped"),0))="Dropped"),FALSE)</f>
        <v>0</v>
      </c>
    </row>
    <row r="143" ht="14.25" customHeight="1">
      <c r="A143" s="22" t="s">
        <v>1373</v>
      </c>
      <c r="B143" s="22" t="s">
        <v>13</v>
      </c>
      <c r="C143" s="22" t="s">
        <v>1374</v>
      </c>
      <c r="D143" s="22" t="s">
        <v>897</v>
      </c>
      <c r="E143" s="22" t="s">
        <v>1375</v>
      </c>
      <c r="F143" s="22">
        <v>377.0</v>
      </c>
      <c r="G143" s="22">
        <v>355.0</v>
      </c>
      <c r="H143" s="22" t="b">
        <f>(RIGHT('2024_Draft_team'!$C143,8)="(Keeper)")</f>
        <v>1</v>
      </c>
      <c r="I143" s="25" t="str">
        <f>IF(RIGHT(LEFT('2024_Draft_team'!$A143,3))="/",RIGHT(LEFT('2024_Draft_team'!$A143,2),1),RIGHT(LEFT('2024_Draft_team'!$A143,3),2))</f>
        <v>7</v>
      </c>
      <c r="J143" s="26">
        <f>IF(OR(AND(('2024_Draft_team'!$I143-4)&lt;=0,'2024_Draft_team'!$H143=TRUE),('2024_Draft_team'!$R143=TRUE)),"N/A",IF('2024_Draft_team'!$H143=TRUE,'2024_Draft_team'!$I143-4,'2024_Draft_team'!$I143-0))</f>
        <v>3</v>
      </c>
      <c r="K143" s="22" t="s">
        <v>278</v>
      </c>
      <c r="L143" s="22" t="s">
        <v>273</v>
      </c>
      <c r="M143" s="22" t="s">
        <v>563</v>
      </c>
      <c r="N143" s="22" t="s">
        <v>32</v>
      </c>
      <c r="O143" s="22" t="s">
        <v>66</v>
      </c>
      <c r="P143" s="22" t="s">
        <v>890</v>
      </c>
      <c r="Q143" s="22" t="str">
        <f>'2024_Draft_team'!$K143&amp;'2024_Draft_team'!$L143</f>
        <v>T.J.Edwards</v>
      </c>
      <c r="R143" s="22" t="b">
        <f t="array" ref="R143">IFERROR((INDEX('2024_Transactions'!$J$2:$J$339,MATCH(1,('2024_Draft_team'!$Q143='2024_Transactions'!$C$2:$C$339)*('2024_Draft_team'!$B143='2024_Transactions'!$B$2:$B$339)*('2024_Transactions'!$J$2:$J$339="Dropped"),0))="Dropped"),FALSE)</f>
        <v>0</v>
      </c>
    </row>
    <row r="144" ht="14.25" customHeight="1">
      <c r="A144" s="22" t="s">
        <v>1376</v>
      </c>
      <c r="B144" s="22" t="s">
        <v>13</v>
      </c>
      <c r="C144" s="22" t="s">
        <v>1377</v>
      </c>
      <c r="D144" s="22" t="s">
        <v>897</v>
      </c>
      <c r="E144" s="22" t="s">
        <v>1378</v>
      </c>
      <c r="F144" s="22">
        <v>312.0</v>
      </c>
      <c r="G144" s="22">
        <v>42.0</v>
      </c>
      <c r="H144" s="22" t="b">
        <f>(RIGHT('2024_Draft_team'!$C144,8)="(Keeper)")</f>
        <v>1</v>
      </c>
      <c r="I144" s="25" t="str">
        <f>IF(RIGHT(LEFT('2024_Draft_team'!$A144,3))="/",RIGHT(LEFT('2024_Draft_team'!$A144,2),1),RIGHT(LEFT('2024_Draft_team'!$A144,3),2))</f>
        <v>8</v>
      </c>
      <c r="J144" s="26">
        <f>IF(OR(AND(('2024_Draft_team'!$I144-4)&lt;=0,'2024_Draft_team'!$H144=TRUE),('2024_Draft_team'!$R144=TRUE)),"N/A",IF('2024_Draft_team'!$H144=TRUE,'2024_Draft_team'!$I144-4,'2024_Draft_team'!$I144-0))</f>
        <v>4</v>
      </c>
      <c r="K144" s="22" t="s">
        <v>495</v>
      </c>
      <c r="L144" s="22" t="s">
        <v>496</v>
      </c>
      <c r="M144" s="22" t="s">
        <v>567</v>
      </c>
      <c r="N144" s="22" t="s">
        <v>32</v>
      </c>
      <c r="O144" s="22" t="s">
        <v>71</v>
      </c>
      <c r="P144" s="22" t="s">
        <v>890</v>
      </c>
      <c r="Q144" s="22" t="str">
        <f>'2024_Draft_team'!$K144&amp;'2024_Draft_team'!$L144</f>
        <v>CalvinRidley</v>
      </c>
      <c r="R144" s="22" t="b">
        <f t="array" ref="R144">IFERROR((INDEX('2024_Transactions'!$J$2:$J$339,MATCH(1,('2024_Draft_team'!$Q144='2024_Transactions'!$C$2:$C$339)*('2024_Draft_team'!$B144='2024_Transactions'!$B$2:$B$339)*('2024_Transactions'!$J$2:$J$339="Dropped"),0))="Dropped"),FALSE)</f>
        <v>0</v>
      </c>
    </row>
    <row r="145" ht="14.25" customHeight="1">
      <c r="A145" s="22" t="s">
        <v>1379</v>
      </c>
      <c r="B145" s="22" t="s">
        <v>13</v>
      </c>
      <c r="C145" s="22" t="s">
        <v>1380</v>
      </c>
      <c r="D145" s="22" t="s">
        <v>1381</v>
      </c>
      <c r="E145" s="22" t="s">
        <v>1382</v>
      </c>
      <c r="F145" s="22">
        <v>354.0</v>
      </c>
      <c r="G145" s="22">
        <v>165.0</v>
      </c>
      <c r="H145" s="22" t="b">
        <f>(RIGHT('2024_Draft_team'!$C145,8)="(Keeper)")</f>
        <v>0</v>
      </c>
      <c r="I145" s="25" t="str">
        <f>IF(RIGHT(LEFT('2024_Draft_team'!$A145,3))="/",RIGHT(LEFT('2024_Draft_team'!$A145,2),1),RIGHT(LEFT('2024_Draft_team'!$A145,3),2))</f>
        <v>9</v>
      </c>
      <c r="J145" s="26">
        <f>IF(OR(AND(('2024_Draft_team'!$I145-4)&lt;=0,'2024_Draft_team'!$H145=TRUE),('2024_Draft_team'!$R145=TRUE)),"N/A",IF('2024_Draft_team'!$H145=TRUE,'2024_Draft_team'!$I145-4,'2024_Draft_team'!$I145-0))</f>
        <v>9</v>
      </c>
      <c r="K145" s="22" t="s">
        <v>334</v>
      </c>
      <c r="L145" s="22" t="s">
        <v>337</v>
      </c>
      <c r="M145" s="22" t="s">
        <v>567</v>
      </c>
      <c r="N145" s="22" t="s">
        <v>32</v>
      </c>
      <c r="O145" s="22" t="s">
        <v>79</v>
      </c>
      <c r="P145" s="22"/>
      <c r="Q145" s="22" t="str">
        <f>'2024_Draft_team'!$K145&amp;'2024_Draft_team'!$L145</f>
        <v>JordanAddison</v>
      </c>
      <c r="R145" s="22" t="b">
        <f t="array" ref="R145">IFERROR((INDEX('2024_Transactions'!$J$2:$J$339,MATCH(1,('2024_Draft_team'!$Q145='2024_Transactions'!$C$2:$C$339)*('2024_Draft_team'!$B145='2024_Transactions'!$B$2:$B$339)*('2024_Transactions'!$J$2:$J$339="Dropped"),0))="Dropped"),FALSE)</f>
        <v>0</v>
      </c>
    </row>
    <row r="146" ht="14.25" customHeight="1">
      <c r="A146" s="22" t="s">
        <v>1383</v>
      </c>
      <c r="B146" s="22" t="s">
        <v>13</v>
      </c>
      <c r="C146" s="22" t="s">
        <v>1384</v>
      </c>
      <c r="D146" s="22" t="s">
        <v>1385</v>
      </c>
      <c r="E146" s="22" t="s">
        <v>1386</v>
      </c>
      <c r="F146" s="22">
        <v>252.0</v>
      </c>
      <c r="G146" s="22">
        <v>48.0</v>
      </c>
      <c r="H146" s="22" t="b">
        <f>(RIGHT('2024_Draft_team'!$C146,8)="(Keeper)")</f>
        <v>0</v>
      </c>
      <c r="I146" s="25" t="str">
        <f>IF(RIGHT(LEFT('2024_Draft_team'!$A146,3))="/",RIGHT(LEFT('2024_Draft_team'!$A146,2),1),RIGHT(LEFT('2024_Draft_team'!$A146,3),2))</f>
        <v>10</v>
      </c>
      <c r="J146" s="26">
        <f>IF(OR(AND(('2024_Draft_team'!$I146-4)&lt;=0,'2024_Draft_team'!$H146=TRUE),('2024_Draft_team'!$R146=TRUE)),"N/A",IF('2024_Draft_team'!$H146=TRUE,'2024_Draft_team'!$I146-4,'2024_Draft_team'!$I146-0))</f>
        <v>10</v>
      </c>
      <c r="K146" s="22" t="s">
        <v>362</v>
      </c>
      <c r="L146" s="22" t="s">
        <v>363</v>
      </c>
      <c r="M146" s="22" t="s">
        <v>567</v>
      </c>
      <c r="N146" s="22" t="s">
        <v>32</v>
      </c>
      <c r="O146" s="22" t="s">
        <v>66</v>
      </c>
      <c r="P146" s="22"/>
      <c r="Q146" s="22" t="str">
        <f>'2024_Draft_team'!$K146&amp;'2024_Draft_team'!$L146</f>
        <v>RomeOdunze</v>
      </c>
      <c r="R146" s="22" t="b">
        <f t="array" ref="R146">IFERROR((INDEX('2024_Transactions'!$J$2:$J$339,MATCH(1,('2024_Draft_team'!$Q146='2024_Transactions'!$C$2:$C$339)*('2024_Draft_team'!$B146='2024_Transactions'!$B$2:$B$339)*('2024_Transactions'!$J$2:$J$339="Dropped"),0))="Dropped"),FALSE)</f>
        <v>0</v>
      </c>
    </row>
    <row r="147" ht="14.25" customHeight="1">
      <c r="A147" s="22" t="s">
        <v>1387</v>
      </c>
      <c r="B147" s="22" t="s">
        <v>13</v>
      </c>
      <c r="C147" s="22" t="s">
        <v>1388</v>
      </c>
      <c r="D147" s="22" t="s">
        <v>897</v>
      </c>
      <c r="E147" s="22" t="s">
        <v>1389</v>
      </c>
      <c r="F147" s="22">
        <v>293.0</v>
      </c>
      <c r="G147" s="22">
        <v>73.0</v>
      </c>
      <c r="H147" s="22" t="b">
        <f>(RIGHT('2024_Draft_team'!$C147,8)="(Keeper)")</f>
        <v>1</v>
      </c>
      <c r="I147" s="25" t="str">
        <f>IF(RIGHT(LEFT('2024_Draft_team'!$A147,3))="/",RIGHT(LEFT('2024_Draft_team'!$A147,2),1),RIGHT(LEFT('2024_Draft_team'!$A147,3),2))</f>
        <v>11</v>
      </c>
      <c r="J147" s="26">
        <f>IF(OR(AND(('2024_Draft_team'!$I147-4)&lt;=0,'2024_Draft_team'!$H147=TRUE),('2024_Draft_team'!$R147=TRUE)),"N/A",IF('2024_Draft_team'!$H147=TRUE,'2024_Draft_team'!$I147-4,'2024_Draft_team'!$I147-0))</f>
        <v>7</v>
      </c>
      <c r="K147" s="22" t="s">
        <v>173</v>
      </c>
      <c r="L147" s="22" t="s">
        <v>174</v>
      </c>
      <c r="M147" s="22" t="s">
        <v>563</v>
      </c>
      <c r="N147" s="22" t="s">
        <v>32</v>
      </c>
      <c r="O147" s="22" t="s">
        <v>148</v>
      </c>
      <c r="P147" s="22" t="s">
        <v>890</v>
      </c>
      <c r="Q147" s="22" t="str">
        <f>'2024_Draft_team'!$K147&amp;'2024_Draft_team'!$L147</f>
        <v>DevinLloyd</v>
      </c>
      <c r="R147" s="22" t="b">
        <f t="array" ref="R147">IFERROR((INDEX('2024_Transactions'!$J$2:$J$339,MATCH(1,('2024_Draft_team'!$Q147='2024_Transactions'!$C$2:$C$339)*('2024_Draft_team'!$B147='2024_Transactions'!$B$2:$B$339)*('2024_Transactions'!$J$2:$J$339="Dropped"),0))="Dropped"),FALSE)</f>
        <v>0</v>
      </c>
    </row>
    <row r="148" ht="14.25" customHeight="1">
      <c r="A148" s="22" t="s">
        <v>1390</v>
      </c>
      <c r="B148" s="22" t="s">
        <v>13</v>
      </c>
      <c r="C148" s="22" t="s">
        <v>1391</v>
      </c>
      <c r="D148" s="22" t="s">
        <v>897</v>
      </c>
      <c r="E148" s="22" t="s">
        <v>1392</v>
      </c>
      <c r="F148" s="22">
        <v>524.0</v>
      </c>
      <c r="G148" s="22">
        <v>326.0</v>
      </c>
      <c r="H148" s="22" t="b">
        <f>(RIGHT('2024_Draft_team'!$C148,8)="(Keeper)")</f>
        <v>1</v>
      </c>
      <c r="I148" s="25" t="str">
        <f>IF(RIGHT(LEFT('2024_Draft_team'!$A148,3))="/",RIGHT(LEFT('2024_Draft_team'!$A148,2),1),RIGHT(LEFT('2024_Draft_team'!$A148,3),2))</f>
        <v>12</v>
      </c>
      <c r="J148" s="26">
        <f>IF(OR(AND(('2024_Draft_team'!$I148-4)&lt;=0,'2024_Draft_team'!$H148=TRUE),('2024_Draft_team'!$R148=TRUE)),"N/A",IF('2024_Draft_team'!$H148=TRUE,'2024_Draft_team'!$I148-4,'2024_Draft_team'!$I148-0))</f>
        <v>8</v>
      </c>
      <c r="K148" s="22" t="s">
        <v>334</v>
      </c>
      <c r="L148" s="22" t="s">
        <v>310</v>
      </c>
      <c r="M148" s="22" t="s">
        <v>29</v>
      </c>
      <c r="N148" s="22" t="s">
        <v>32</v>
      </c>
      <c r="O148" s="22" t="s">
        <v>45</v>
      </c>
      <c r="P148" s="22" t="s">
        <v>890</v>
      </c>
      <c r="Q148" s="22" t="str">
        <f>'2024_Draft_team'!$K148&amp;'2024_Draft_team'!$L148</f>
        <v>JordanLove</v>
      </c>
      <c r="R148" s="22" t="b">
        <f t="array" ref="R148">IFERROR((INDEX('2024_Transactions'!$J$2:$J$339,MATCH(1,('2024_Draft_team'!$Q148='2024_Transactions'!$C$2:$C$339)*('2024_Draft_team'!$B148='2024_Transactions'!$B$2:$B$339)*('2024_Transactions'!$J$2:$J$339="Dropped"),0))="Dropped"),FALSE)</f>
        <v>0</v>
      </c>
    </row>
    <row r="149" ht="14.25" customHeight="1">
      <c r="A149" s="22" t="s">
        <v>1393</v>
      </c>
      <c r="B149" s="22" t="s">
        <v>13</v>
      </c>
      <c r="C149" s="22" t="s">
        <v>1394</v>
      </c>
      <c r="D149" s="22" t="s">
        <v>1395</v>
      </c>
      <c r="E149" s="22" t="s">
        <v>1396</v>
      </c>
      <c r="F149" s="22">
        <v>198.0</v>
      </c>
      <c r="G149" s="22">
        <v>26.0</v>
      </c>
      <c r="H149" s="22" t="b">
        <f>(RIGHT('2024_Draft_team'!$C149,8)="(Keeper)")</f>
        <v>0</v>
      </c>
      <c r="I149" s="25" t="str">
        <f>IF(RIGHT(LEFT('2024_Draft_team'!$A149,3))="/",RIGHT(LEFT('2024_Draft_team'!$A149,2),1),RIGHT(LEFT('2024_Draft_team'!$A149,3),2))</f>
        <v>13</v>
      </c>
      <c r="J149" s="26">
        <f>IF(OR(AND(('2024_Draft_team'!$I149-4)&lt;=0,'2024_Draft_team'!$H149=TRUE),('2024_Draft_team'!$R149=TRUE)),"N/A",IF('2024_Draft_team'!$H149=TRUE,'2024_Draft_team'!$I149-4,'2024_Draft_team'!$I149-0))</f>
        <v>13</v>
      </c>
      <c r="K149" s="22" t="s">
        <v>356</v>
      </c>
      <c r="L149" s="22" t="s">
        <v>357</v>
      </c>
      <c r="M149" s="22" t="s">
        <v>567</v>
      </c>
      <c r="N149" s="22" t="s">
        <v>32</v>
      </c>
      <c r="O149" s="22" t="s">
        <v>93</v>
      </c>
      <c r="P149" s="22"/>
      <c r="Q149" s="22" t="str">
        <f>'2024_Draft_team'!$K149&amp;'2024_Draft_team'!$L149</f>
        <v>KeonColeman</v>
      </c>
      <c r="R149" s="22" t="b">
        <f t="array" ref="R149">IFERROR((INDEX('2024_Transactions'!$J$2:$J$339,MATCH(1,('2024_Draft_team'!$Q149='2024_Transactions'!$C$2:$C$339)*('2024_Draft_team'!$B149='2024_Transactions'!$B$2:$B$339)*('2024_Transactions'!$J$2:$J$339="Dropped"),0))="Dropped"),FALSE)</f>
        <v>0</v>
      </c>
    </row>
    <row r="150" ht="14.25" customHeight="1">
      <c r="A150" s="22" t="s">
        <v>1397</v>
      </c>
      <c r="B150" s="22" t="s">
        <v>13</v>
      </c>
      <c r="C150" s="22" t="s">
        <v>1398</v>
      </c>
      <c r="D150" s="22" t="s">
        <v>1399</v>
      </c>
      <c r="E150" s="22" t="s">
        <v>1400</v>
      </c>
      <c r="F150" s="22">
        <v>149.0</v>
      </c>
      <c r="G150" s="22">
        <v>65.0</v>
      </c>
      <c r="H150" s="22" t="b">
        <f>(RIGHT('2024_Draft_team'!$C150,8)="(Keeper)")</f>
        <v>0</v>
      </c>
      <c r="I150" s="25" t="str">
        <f>IF(RIGHT(LEFT('2024_Draft_team'!$A150,3))="/",RIGHT(LEFT('2024_Draft_team'!$A150,2),1),RIGHT(LEFT('2024_Draft_team'!$A150,3),2))</f>
        <v>14</v>
      </c>
      <c r="J150" s="26">
        <f>IF(OR(AND(('2024_Draft_team'!$I150-4)&lt;=0,'2024_Draft_team'!$H150=TRUE),('2024_Draft_team'!$R150=TRUE)),"N/A",IF('2024_Draft_team'!$H150=TRUE,'2024_Draft_team'!$I150-4,'2024_Draft_team'!$I150-0))</f>
        <v>14</v>
      </c>
      <c r="K150" s="22" t="s">
        <v>546</v>
      </c>
      <c r="L150" s="22" t="s">
        <v>547</v>
      </c>
      <c r="M150" s="22" t="s">
        <v>563</v>
      </c>
      <c r="N150" s="22" t="s">
        <v>32</v>
      </c>
      <c r="O150" s="22" t="s">
        <v>54</v>
      </c>
      <c r="P150" s="22"/>
      <c r="Q150" s="22" t="str">
        <f>'2024_Draft_team'!$K150&amp;'2024_Draft_team'!$L150</f>
        <v>DenzelPerryman</v>
      </c>
      <c r="R150" s="22" t="b">
        <f t="array" ref="R150">IFERROR((INDEX('2024_Transactions'!$J$2:$J$339,MATCH(1,('2024_Draft_team'!$Q150='2024_Transactions'!$C$2:$C$339)*('2024_Draft_team'!$B150='2024_Transactions'!$B$2:$B$339)*('2024_Transactions'!$J$2:$J$339="Dropped"),0))="Dropped"),FALSE)</f>
        <v>0</v>
      </c>
    </row>
    <row r="151" ht="14.25" customHeight="1">
      <c r="A151" s="22" t="s">
        <v>1401</v>
      </c>
      <c r="B151" s="22" t="s">
        <v>13</v>
      </c>
      <c r="C151" s="22" t="s">
        <v>1402</v>
      </c>
      <c r="D151" s="22" t="s">
        <v>897</v>
      </c>
      <c r="E151" s="22" t="s">
        <v>1403</v>
      </c>
      <c r="F151" s="22">
        <v>520.0</v>
      </c>
      <c r="G151" s="22">
        <v>412.0</v>
      </c>
      <c r="H151" s="22" t="b">
        <f>(RIGHT('2024_Draft_team'!$C151,8)="(Keeper)")</f>
        <v>1</v>
      </c>
      <c r="I151" s="25" t="str">
        <f>IF(RIGHT(LEFT('2024_Draft_team'!$A151,3))="/",RIGHT(LEFT('2024_Draft_team'!$A151,2),1),RIGHT(LEFT('2024_Draft_team'!$A151,3),2))</f>
        <v>15</v>
      </c>
      <c r="J151" s="26">
        <f>IF(OR(AND(('2024_Draft_team'!$I151-4)&lt;=0,'2024_Draft_team'!$H151=TRUE),('2024_Draft_team'!$R151=TRUE)),"N/A",IF('2024_Draft_team'!$H151=TRUE,'2024_Draft_team'!$I151-4,'2024_Draft_team'!$I151-0))</f>
        <v>11</v>
      </c>
      <c r="K151" s="22" t="s">
        <v>306</v>
      </c>
      <c r="L151" s="22" t="s">
        <v>335</v>
      </c>
      <c r="M151" s="22" t="s">
        <v>39</v>
      </c>
      <c r="N151" s="22" t="s">
        <v>32</v>
      </c>
      <c r="O151" s="22" t="s">
        <v>93</v>
      </c>
      <c r="P151" s="22" t="s">
        <v>890</v>
      </c>
      <c r="Q151" s="22" t="str">
        <f>'2024_Draft_team'!$K151&amp;'2024_Draft_team'!$L151</f>
        <v>JamesCook</v>
      </c>
      <c r="R151" s="22" t="b">
        <f t="array" ref="R151">IFERROR((INDEX('2024_Transactions'!$J$2:$J$339,MATCH(1,('2024_Draft_team'!$Q151='2024_Transactions'!$C$2:$C$339)*('2024_Draft_team'!$B151='2024_Transactions'!$B$2:$B$339)*('2024_Transactions'!$J$2:$J$339="Dropped"),0))="Dropped"),FALSE)</f>
        <v>0</v>
      </c>
    </row>
    <row r="152" ht="14.25" customHeight="1">
      <c r="A152" s="22" t="s">
        <v>1404</v>
      </c>
      <c r="B152" s="22" t="s">
        <v>13</v>
      </c>
      <c r="C152" s="22" t="s">
        <v>1405</v>
      </c>
      <c r="D152" s="22" t="s">
        <v>1406</v>
      </c>
      <c r="E152" s="22" t="s">
        <v>1407</v>
      </c>
      <c r="F152" s="22">
        <v>3.0</v>
      </c>
      <c r="G152" s="22">
        <v>0.0</v>
      </c>
      <c r="H152" s="22" t="b">
        <f>(RIGHT('2024_Draft_team'!$C152,8)="(Keeper)")</f>
        <v>0</v>
      </c>
      <c r="I152" s="25" t="str">
        <f>IF(RIGHT(LEFT('2024_Draft_team'!$A152,3))="/",RIGHT(LEFT('2024_Draft_team'!$A152,2),1),RIGHT(LEFT('2024_Draft_team'!$A152,3),2))</f>
        <v>16</v>
      </c>
      <c r="J152" s="26">
        <f>IF(OR(AND(('2024_Draft_team'!$I152-4)&lt;=0,'2024_Draft_team'!$H152=TRUE),('2024_Draft_team'!$R152=TRUE)),"N/A",IF('2024_Draft_team'!$H152=TRUE,'2024_Draft_team'!$I152-4,'2024_Draft_team'!$I152-0))</f>
        <v>16</v>
      </c>
      <c r="K152" s="22" t="s">
        <v>371</v>
      </c>
      <c r="L152" s="22" t="s">
        <v>174</v>
      </c>
      <c r="M152" s="22" t="s">
        <v>39</v>
      </c>
      <c r="N152" s="22" t="s">
        <v>32</v>
      </c>
      <c r="O152" s="22" t="s">
        <v>45</v>
      </c>
      <c r="P152" s="22"/>
      <c r="Q152" s="22" t="str">
        <f>'2024_Draft_team'!$K152&amp;'2024_Draft_team'!$L152</f>
        <v>MarShawnLloyd</v>
      </c>
      <c r="R152" s="22" t="b">
        <f t="array" ref="R152">IFERROR((INDEX('2024_Transactions'!$J$2:$J$339,MATCH(1,('2024_Draft_team'!$Q152='2024_Transactions'!$C$2:$C$339)*('2024_Draft_team'!$B152='2024_Transactions'!$B$2:$B$339)*('2024_Transactions'!$J$2:$J$339="Dropped"),0))="Dropped"),FALSE)</f>
        <v>0</v>
      </c>
    </row>
    <row r="153" ht="14.25" customHeight="1">
      <c r="A153" s="22" t="s">
        <v>1408</v>
      </c>
      <c r="B153" s="22" t="s">
        <v>13</v>
      </c>
      <c r="C153" s="22" t="s">
        <v>1409</v>
      </c>
      <c r="D153" s="22" t="s">
        <v>897</v>
      </c>
      <c r="E153" s="22" t="s">
        <v>1410</v>
      </c>
      <c r="F153" s="22">
        <v>659.0</v>
      </c>
      <c r="G153" s="22">
        <v>380.0</v>
      </c>
      <c r="H153" s="22" t="b">
        <f>(RIGHT('2024_Draft_team'!$C153,8)="(Keeper)")</f>
        <v>1</v>
      </c>
      <c r="I153" s="25" t="str">
        <f>IF(RIGHT(LEFT('2024_Draft_team'!$A153,3))="/",RIGHT(LEFT('2024_Draft_team'!$A153,2),1),RIGHT(LEFT('2024_Draft_team'!$A153,3),2))</f>
        <v>17</v>
      </c>
      <c r="J153" s="26">
        <f>IF(OR(AND(('2024_Draft_team'!$I153-4)&lt;=0,'2024_Draft_team'!$H153=TRUE),('2024_Draft_team'!$R153=TRUE)),"N/A",IF('2024_Draft_team'!$H153=TRUE,'2024_Draft_team'!$I153-4,'2024_Draft_team'!$I153-0))</f>
        <v>13</v>
      </c>
      <c r="K153" s="22" t="s">
        <v>353</v>
      </c>
      <c r="L153" s="22" t="s">
        <v>242</v>
      </c>
      <c r="M153" s="22" t="s">
        <v>29</v>
      </c>
      <c r="N153" s="22" t="s">
        <v>32</v>
      </c>
      <c r="O153" s="22" t="s">
        <v>213</v>
      </c>
      <c r="P153" s="22" t="s">
        <v>890</v>
      </c>
      <c r="Q153" s="22" t="str">
        <f>'2024_Draft_team'!$K153&amp;'2024_Draft_team'!$L153</f>
        <v>KylerMurray</v>
      </c>
      <c r="R153" s="22" t="b">
        <f t="array" ref="R153">IFERROR((INDEX('2024_Transactions'!$J$2:$J$339,MATCH(1,('2024_Draft_team'!$Q153='2024_Transactions'!$C$2:$C$339)*('2024_Draft_team'!$B153='2024_Transactions'!$B$2:$B$339)*('2024_Transactions'!$J$2:$J$339="Dropped"),0))="Dropped"),FALSE)</f>
        <v>0</v>
      </c>
    </row>
    <row r="154" ht="14.25" customHeight="1">
      <c r="A154" s="22" t="s">
        <v>1411</v>
      </c>
      <c r="B154" s="22" t="s">
        <v>13</v>
      </c>
      <c r="C154" s="22" t="s">
        <v>1412</v>
      </c>
      <c r="D154" s="22" t="s">
        <v>897</v>
      </c>
      <c r="E154" s="22" t="s">
        <v>1413</v>
      </c>
      <c r="F154" s="22">
        <v>102.0</v>
      </c>
      <c r="G154" s="22">
        <v>102.0</v>
      </c>
      <c r="H154" s="22" t="b">
        <f>(RIGHT('2024_Draft_team'!$C154,8)="(Keeper)")</f>
        <v>1</v>
      </c>
      <c r="I154" s="25" t="str">
        <f>IF(RIGHT(LEFT('2024_Draft_team'!$A154,3))="/",RIGHT(LEFT('2024_Draft_team'!$A154,2),1),RIGHT(LEFT('2024_Draft_team'!$A154,3),2))</f>
        <v>18</v>
      </c>
      <c r="J154" s="26">
        <f>IF(OR(AND(('2024_Draft_team'!$I154-4)&lt;=0,'2024_Draft_team'!$H154=TRUE),('2024_Draft_team'!$R154=TRUE)),"N/A",IF('2024_Draft_team'!$H154=TRUE,'2024_Draft_team'!$I154-4,'2024_Draft_team'!$I154-0))</f>
        <v>14</v>
      </c>
      <c r="K154" s="22" t="s">
        <v>101</v>
      </c>
      <c r="L154" s="22" t="s">
        <v>372</v>
      </c>
      <c r="M154" s="22" t="s">
        <v>567</v>
      </c>
      <c r="N154" s="22" t="s">
        <v>32</v>
      </c>
      <c r="O154" s="22" t="s">
        <v>37</v>
      </c>
      <c r="P154" s="22" t="s">
        <v>890</v>
      </c>
      <c r="Q154" s="22" t="str">
        <f>'2024_Draft_team'!$K154&amp;'2024_Draft_team'!$L154</f>
        <v>BrandonAiyuk</v>
      </c>
      <c r="R154" s="22" t="b">
        <f t="array" ref="R154">IFERROR((INDEX('2024_Transactions'!$J$2:$J$339,MATCH(1,('2024_Draft_team'!$Q154='2024_Transactions'!$C$2:$C$339)*('2024_Draft_team'!$B154='2024_Transactions'!$B$2:$B$339)*('2024_Transactions'!$J$2:$J$339="Dropped"),0))="Dropped"),FALSE)</f>
        <v>0</v>
      </c>
    </row>
    <row r="155" ht="14.25" customHeight="1">
      <c r="A155" s="22" t="s">
        <v>1414</v>
      </c>
      <c r="B155" s="22" t="s">
        <v>13</v>
      </c>
      <c r="C155" s="22" t="s">
        <v>1415</v>
      </c>
      <c r="D155" s="22" t="s">
        <v>897</v>
      </c>
      <c r="E155" s="22" t="s">
        <v>1416</v>
      </c>
      <c r="F155" s="22">
        <v>285.0</v>
      </c>
      <c r="G155" s="22">
        <v>184.0</v>
      </c>
      <c r="H155" s="22" t="b">
        <f>(RIGHT('2024_Draft_team'!$C155,8)="(Keeper)")</f>
        <v>1</v>
      </c>
      <c r="I155" s="25" t="str">
        <f>IF(RIGHT(LEFT('2024_Draft_team'!$A155,3))="/",RIGHT(LEFT('2024_Draft_team'!$A155,2),1),RIGHT(LEFT('2024_Draft_team'!$A155,3),2))</f>
        <v>19</v>
      </c>
      <c r="J155" s="26">
        <f>IF(OR(AND(('2024_Draft_team'!$I155-4)&lt;=0,'2024_Draft_team'!$H155=TRUE),('2024_Draft_team'!$R155=TRUE)),"N/A",IF('2024_Draft_team'!$H155=TRUE,'2024_Draft_team'!$I155-4,'2024_Draft_team'!$I155-0))</f>
        <v>15</v>
      </c>
      <c r="K155" s="22" t="s">
        <v>347</v>
      </c>
      <c r="L155" s="22" t="s">
        <v>348</v>
      </c>
      <c r="M155" s="22" t="s">
        <v>604</v>
      </c>
      <c r="N155" s="22" t="s">
        <v>32</v>
      </c>
      <c r="O155" s="22" t="s">
        <v>172</v>
      </c>
      <c r="P155" s="22" t="s">
        <v>890</v>
      </c>
      <c r="Q155" s="22" t="str">
        <f>'2024_Draft_team'!$K155&amp;'2024_Draft_team'!$L155</f>
        <v>DanielleHunter</v>
      </c>
      <c r="R155" s="22" t="b">
        <f t="array" ref="R155">IFERROR((INDEX('2024_Transactions'!$J$2:$J$339,MATCH(1,('2024_Draft_team'!$Q155='2024_Transactions'!$C$2:$C$339)*('2024_Draft_team'!$B155='2024_Transactions'!$B$2:$B$339)*('2024_Transactions'!$J$2:$J$339="Dropped"),0))="Dropped"),FALSE)</f>
        <v>0</v>
      </c>
    </row>
    <row r="156" ht="14.25" customHeight="1">
      <c r="A156" s="22" t="s">
        <v>1417</v>
      </c>
      <c r="B156" s="22" t="s">
        <v>13</v>
      </c>
      <c r="C156" s="22" t="s">
        <v>1418</v>
      </c>
      <c r="D156" s="22" t="s">
        <v>897</v>
      </c>
      <c r="E156" s="22" t="s">
        <v>1419</v>
      </c>
      <c r="F156" s="22">
        <v>424.0</v>
      </c>
      <c r="G156" s="22">
        <v>385.0</v>
      </c>
      <c r="H156" s="22" t="b">
        <f>(RIGHT('2024_Draft_team'!$C156,8)="(Keeper)")</f>
        <v>1</v>
      </c>
      <c r="I156" s="25" t="str">
        <f>IF(RIGHT(LEFT('2024_Draft_team'!$A156,3))="/",RIGHT(LEFT('2024_Draft_team'!$A156,2),1),RIGHT(LEFT('2024_Draft_team'!$A156,3),2))</f>
        <v>20</v>
      </c>
      <c r="J156" s="26">
        <f>IF(OR(AND(('2024_Draft_team'!$I156-4)&lt;=0,'2024_Draft_team'!$H156=TRUE),('2024_Draft_team'!$R156=TRUE)),"N/A",IF('2024_Draft_team'!$H156=TRUE,'2024_Draft_team'!$I156-4,'2024_Draft_team'!$I156-0))</f>
        <v>16</v>
      </c>
      <c r="K156" s="22" t="s">
        <v>351</v>
      </c>
      <c r="L156" s="22" t="s">
        <v>352</v>
      </c>
      <c r="M156" s="22" t="s">
        <v>563</v>
      </c>
      <c r="N156" s="22" t="s">
        <v>32</v>
      </c>
      <c r="O156" s="22" t="s">
        <v>76</v>
      </c>
      <c r="P156" s="22" t="s">
        <v>890</v>
      </c>
      <c r="Q156" s="22" t="str">
        <f>'2024_Draft_team'!$K156&amp;'2024_Draft_team'!$L156</f>
        <v>RobertSpillane</v>
      </c>
      <c r="R156" s="22" t="b">
        <f t="array" ref="R156">IFERROR((INDEX('2024_Transactions'!$J$2:$J$339,MATCH(1,('2024_Draft_team'!$Q156='2024_Transactions'!$C$2:$C$339)*('2024_Draft_team'!$B156='2024_Transactions'!$B$2:$B$339)*('2024_Transactions'!$J$2:$J$339="Dropped"),0))="Dropped"),FALSE)</f>
        <v>0</v>
      </c>
    </row>
    <row r="157" ht="14.25" customHeight="1">
      <c r="A157" s="22" t="s">
        <v>1420</v>
      </c>
      <c r="B157" s="22" t="s">
        <v>13</v>
      </c>
      <c r="C157" s="22" t="s">
        <v>1421</v>
      </c>
      <c r="D157" s="22" t="s">
        <v>1422</v>
      </c>
      <c r="E157" s="22" t="s">
        <v>1423</v>
      </c>
      <c r="F157" s="22">
        <v>98.0</v>
      </c>
      <c r="G157" s="22">
        <v>0.0</v>
      </c>
      <c r="H157" s="22" t="b">
        <f>(RIGHT('2024_Draft_team'!$C157,8)="(Keeper)")</f>
        <v>0</v>
      </c>
      <c r="I157" s="25" t="str">
        <f>IF(RIGHT(LEFT('2024_Draft_team'!$A157,3))="/",RIGHT(LEFT('2024_Draft_team'!$A157,2),1),RIGHT(LEFT('2024_Draft_team'!$A157,3),2))</f>
        <v>21</v>
      </c>
      <c r="J157" s="26">
        <f>IF(OR(AND(('2024_Draft_team'!$I157-4)&lt;=0,'2024_Draft_team'!$H157=TRUE),('2024_Draft_team'!$R157=TRUE)),"N/A",IF('2024_Draft_team'!$H157=TRUE,'2024_Draft_team'!$I157-4,'2024_Draft_team'!$I157-0))</f>
        <v>21</v>
      </c>
      <c r="K157" s="22" t="s">
        <v>276</v>
      </c>
      <c r="L157" s="22" t="s">
        <v>369</v>
      </c>
      <c r="M157" s="22" t="s">
        <v>563</v>
      </c>
      <c r="N157" s="22" t="s">
        <v>32</v>
      </c>
      <c r="O157" s="22" t="s">
        <v>79</v>
      </c>
      <c r="P157" s="22"/>
      <c r="Q157" s="22" t="str">
        <f>'2024_Draft_team'!$K157&amp;'2024_Draft_team'!$L157</f>
        <v>DallasTurner</v>
      </c>
      <c r="R157" s="22" t="b">
        <f t="array" ref="R157">IFERROR((INDEX('2024_Transactions'!$J$2:$J$339,MATCH(1,('2024_Draft_team'!$Q157='2024_Transactions'!$C$2:$C$339)*('2024_Draft_team'!$B157='2024_Transactions'!$B$2:$B$339)*('2024_Transactions'!$J$2:$J$339="Dropped"),0))="Dropped"),FALSE)</f>
        <v>0</v>
      </c>
    </row>
    <row r="158" ht="14.25" customHeight="1">
      <c r="A158" s="22" t="s">
        <v>1424</v>
      </c>
      <c r="B158" s="22" t="s">
        <v>13</v>
      </c>
      <c r="C158" s="22" t="s">
        <v>1425</v>
      </c>
      <c r="D158" s="22" t="s">
        <v>897</v>
      </c>
      <c r="E158" s="22" t="s">
        <v>1426</v>
      </c>
      <c r="F158" s="22">
        <v>313.0</v>
      </c>
      <c r="G158" s="22">
        <v>246.0</v>
      </c>
      <c r="H158" s="22" t="b">
        <f>(RIGHT('2024_Draft_team'!$C158,8)="(Keeper)")</f>
        <v>1</v>
      </c>
      <c r="I158" s="25" t="str">
        <f>IF(RIGHT(LEFT('2024_Draft_team'!$A158,3))="/",RIGHT(LEFT('2024_Draft_team'!$A158,2),1),RIGHT(LEFT('2024_Draft_team'!$A158,3),2))</f>
        <v>22</v>
      </c>
      <c r="J158" s="26">
        <f>IF(OR(AND(('2024_Draft_team'!$I158-4)&lt;=0,'2024_Draft_team'!$H158=TRUE),('2024_Draft_team'!$R158=TRUE)),"N/A",IF('2024_Draft_team'!$H158=TRUE,'2024_Draft_team'!$I158-4,'2024_Draft_team'!$I158-0))</f>
        <v>18</v>
      </c>
      <c r="K158" s="22" t="s">
        <v>343</v>
      </c>
      <c r="L158" s="22" t="s">
        <v>344</v>
      </c>
      <c r="M158" s="22" t="s">
        <v>563</v>
      </c>
      <c r="N158" s="22" t="s">
        <v>32</v>
      </c>
      <c r="O158" s="22" t="s">
        <v>93</v>
      </c>
      <c r="P158" s="22" t="s">
        <v>890</v>
      </c>
      <c r="Q158" s="22" t="str">
        <f>'2024_Draft_team'!$K158&amp;'2024_Draft_team'!$L158</f>
        <v>TerrelBernard</v>
      </c>
      <c r="R158" s="22" t="b">
        <f t="array" ref="R158">IFERROR((INDEX('2024_Transactions'!$J$2:$J$339,MATCH(1,('2024_Draft_team'!$Q158='2024_Transactions'!$C$2:$C$339)*('2024_Draft_team'!$B158='2024_Transactions'!$B$2:$B$339)*('2024_Transactions'!$J$2:$J$339="Dropped"),0))="Dropped"),FALSE)</f>
        <v>0</v>
      </c>
    </row>
    <row r="159" ht="14.25" customHeight="1">
      <c r="A159" s="22" t="s">
        <v>1427</v>
      </c>
      <c r="B159" s="22" t="s">
        <v>13</v>
      </c>
      <c r="C159" s="22" t="s">
        <v>1428</v>
      </c>
      <c r="D159" s="22" t="s">
        <v>1429</v>
      </c>
      <c r="E159" s="22" t="s">
        <v>1430</v>
      </c>
      <c r="F159" s="22">
        <v>230.0</v>
      </c>
      <c r="G159" s="22">
        <v>14.0</v>
      </c>
      <c r="H159" s="22" t="b">
        <f>(RIGHT('2024_Draft_team'!$C159,8)="(Keeper)")</f>
        <v>0</v>
      </c>
      <c r="I159" s="25" t="str">
        <f>IF(RIGHT(LEFT('2024_Draft_team'!$A159,3))="/",RIGHT(LEFT('2024_Draft_team'!$A159,2),1),RIGHT(LEFT('2024_Draft_team'!$A159,3),2))</f>
        <v>23</v>
      </c>
      <c r="J159" s="26" t="str">
        <f>IF(OR(AND(('2024_Draft_team'!$I159-4)&lt;=0,'2024_Draft_team'!$H159=TRUE),('2024_Draft_team'!$R159=TRUE)),"N/A",IF('2024_Draft_team'!$H159=TRUE,'2024_Draft_team'!$I159-4,'2024_Draft_team'!$I159-0))</f>
        <v>N/A</v>
      </c>
      <c r="K159" s="22" t="s">
        <v>699</v>
      </c>
      <c r="L159" s="22" t="s">
        <v>215</v>
      </c>
      <c r="M159" s="22" t="s">
        <v>563</v>
      </c>
      <c r="N159" s="22" t="s">
        <v>32</v>
      </c>
      <c r="O159" s="22" t="s">
        <v>170</v>
      </c>
      <c r="P159" s="22"/>
      <c r="Q159" s="22" t="str">
        <f>'2024_Draft_team'!$K159&amp;'2024_Draft_team'!$L159</f>
        <v>PaytonWilson</v>
      </c>
      <c r="R159" s="22" t="b">
        <f t="array" ref="R159">IFERROR((INDEX('2024_Transactions'!$J$2:$J$339,MATCH(1,('2024_Draft_team'!$Q159='2024_Transactions'!$C$2:$C$339)*('2024_Draft_team'!$B159='2024_Transactions'!$B$2:$B$339)*('2024_Transactions'!$J$2:$J$339="Dropped"),0))="Dropped"),FALSE)</f>
        <v>1</v>
      </c>
    </row>
    <row r="160" ht="14.25" customHeight="1">
      <c r="A160" s="22" t="s">
        <v>1431</v>
      </c>
      <c r="B160" s="22" t="s">
        <v>13</v>
      </c>
      <c r="C160" s="22" t="s">
        <v>1432</v>
      </c>
      <c r="D160" s="22" t="s">
        <v>897</v>
      </c>
      <c r="E160" s="22" t="s">
        <v>1433</v>
      </c>
      <c r="F160" s="22">
        <v>153.0</v>
      </c>
      <c r="G160" s="22">
        <v>2.0</v>
      </c>
      <c r="H160" s="22" t="b">
        <f>(RIGHT('2024_Draft_team'!$C160,8)="(Keeper)")</f>
        <v>1</v>
      </c>
      <c r="I160" s="25" t="str">
        <f>IF(RIGHT(LEFT('2024_Draft_team'!$A160,3))="/",RIGHT(LEFT('2024_Draft_team'!$A160,2),1),RIGHT(LEFT('2024_Draft_team'!$A160,3),2))</f>
        <v>24</v>
      </c>
      <c r="J160" s="26">
        <f>IF(OR(AND(('2024_Draft_team'!$I160-4)&lt;=0,'2024_Draft_team'!$H160=TRUE),('2024_Draft_team'!$R160=TRUE)),"N/A",IF('2024_Draft_team'!$H160=TRUE,'2024_Draft_team'!$I160-4,'2024_Draft_team'!$I160-0))</f>
        <v>20</v>
      </c>
      <c r="K160" s="22" t="s">
        <v>190</v>
      </c>
      <c r="L160" s="22" t="s">
        <v>191</v>
      </c>
      <c r="M160" s="22" t="s">
        <v>39</v>
      </c>
      <c r="N160" s="22" t="s">
        <v>32</v>
      </c>
      <c r="O160" s="22" t="s">
        <v>71</v>
      </c>
      <c r="P160" s="22" t="s">
        <v>890</v>
      </c>
      <c r="Q160" s="22" t="str">
        <f>'2024_Draft_team'!$K160&amp;'2024_Draft_team'!$L160</f>
        <v>TyjaeSpears</v>
      </c>
      <c r="R160" s="22" t="b">
        <f t="array" ref="R160">IFERROR((INDEX('2024_Transactions'!$J$2:$J$339,MATCH(1,('2024_Draft_team'!$Q160='2024_Transactions'!$C$2:$C$339)*('2024_Draft_team'!$B160='2024_Transactions'!$B$2:$B$339)*('2024_Transactions'!$J$2:$J$339="Dropped"),0))="Dropped"),FALSE)</f>
        <v>0</v>
      </c>
    </row>
    <row r="161" ht="14.25" customHeight="1">
      <c r="A161" s="22" t="s">
        <v>1434</v>
      </c>
      <c r="B161" s="22" t="s">
        <v>13</v>
      </c>
      <c r="C161" s="22" t="s">
        <v>1435</v>
      </c>
      <c r="D161" s="22" t="s">
        <v>1365</v>
      </c>
      <c r="E161" s="22" t="s">
        <v>1436</v>
      </c>
      <c r="F161" s="22">
        <v>138.0</v>
      </c>
      <c r="G161" s="22">
        <v>0.0</v>
      </c>
      <c r="H161" s="22" t="b">
        <f>(RIGHT('2024_Draft_team'!$C161,8)="(Keeper)")</f>
        <v>0</v>
      </c>
      <c r="I161" s="25" t="str">
        <f>IF(RIGHT(LEFT('2024_Draft_team'!$A161,3))="/",RIGHT(LEFT('2024_Draft_team'!$A161,2),1),RIGHT(LEFT('2024_Draft_team'!$A161,3),2))</f>
        <v>25</v>
      </c>
      <c r="J161" s="26">
        <f>IF(OR(AND(('2024_Draft_team'!$I161-4)&lt;=0,'2024_Draft_team'!$H161=TRUE),('2024_Draft_team'!$R161=TRUE)),"N/A",IF('2024_Draft_team'!$H161=TRUE,'2024_Draft_team'!$I161-4,'2024_Draft_team'!$I161-0))</f>
        <v>25</v>
      </c>
      <c r="K161" s="22" t="s">
        <v>708</v>
      </c>
      <c r="L161" s="22" t="s">
        <v>388</v>
      </c>
      <c r="M161" s="22" t="s">
        <v>39</v>
      </c>
      <c r="N161" s="22" t="s">
        <v>32</v>
      </c>
      <c r="O161" s="22" t="s">
        <v>103</v>
      </c>
      <c r="P161" s="22"/>
      <c r="Q161" s="22" t="str">
        <f>'2024_Draft_team'!$K161&amp;'2024_Draft_team'!$L161</f>
        <v>JaleelMcLaughlin</v>
      </c>
      <c r="R161" s="22" t="b">
        <f t="array" ref="R161">IFERROR((INDEX('2024_Transactions'!$J$2:$J$339,MATCH(1,('2024_Draft_team'!$Q161='2024_Transactions'!$C$2:$C$339)*('2024_Draft_team'!$B161='2024_Transactions'!$B$2:$B$339)*('2024_Transactions'!$J$2:$J$339="Dropped"),0))="Dropped"),FALSE)</f>
        <v>0</v>
      </c>
    </row>
    <row r="162" ht="14.25" customHeight="1">
      <c r="A162" s="22" t="s">
        <v>1437</v>
      </c>
      <c r="B162" s="22" t="s">
        <v>13</v>
      </c>
      <c r="C162" s="22" t="s">
        <v>1438</v>
      </c>
      <c r="D162" s="22" t="s">
        <v>897</v>
      </c>
      <c r="E162" s="22" t="s">
        <v>1439</v>
      </c>
      <c r="F162" s="22">
        <v>287.0</v>
      </c>
      <c r="G162" s="22">
        <v>136.0</v>
      </c>
      <c r="H162" s="22" t="b">
        <f>(RIGHT('2024_Draft_team'!$C162,8)="(Keeper)")</f>
        <v>0</v>
      </c>
      <c r="I162" s="25" t="str">
        <f>IF(RIGHT(LEFT('2024_Draft_team'!$A162,3))="/",RIGHT(LEFT('2024_Draft_team'!$A162,2),1),RIGHT(LEFT('2024_Draft_team'!$A162,3),2))</f>
        <v>26</v>
      </c>
      <c r="J162" s="26">
        <f>IF(OR(AND(('2024_Draft_team'!$I162-4)&lt;=0,'2024_Draft_team'!$H162=TRUE),('2024_Draft_team'!$R162=TRUE)),"N/A",IF('2024_Draft_team'!$H162=TRUE,'2024_Draft_team'!$I162-4,'2024_Draft_team'!$I162-0))</f>
        <v>26</v>
      </c>
      <c r="K162" s="22" t="s">
        <v>56</v>
      </c>
      <c r="L162" s="22" t="s">
        <v>412</v>
      </c>
      <c r="M162" s="22" t="s">
        <v>55</v>
      </c>
      <c r="N162" s="22" t="s">
        <v>32</v>
      </c>
      <c r="O162" s="22" t="s">
        <v>110</v>
      </c>
      <c r="P162" s="22"/>
      <c r="Q162" s="22" t="str">
        <f>'2024_Draft_team'!$K162&amp;'2024_Draft_team'!$L162</f>
        <v>JasonMyers</v>
      </c>
      <c r="R162" s="22" t="b">
        <f t="array" ref="R162">IFERROR((INDEX('2024_Transactions'!$J$2:$J$339,MATCH(1,('2024_Draft_team'!$Q162='2024_Transactions'!$C$2:$C$339)*('2024_Draft_team'!$B162='2024_Transactions'!$B$2:$B$339)*('2024_Transactions'!$J$2:$J$339="Dropped"),0))="Dropped"),FALSE)</f>
        <v>0</v>
      </c>
    </row>
    <row r="163" ht="14.25" customHeight="1">
      <c r="A163" s="22" t="s">
        <v>1440</v>
      </c>
      <c r="B163" s="22" t="s">
        <v>13</v>
      </c>
      <c r="C163" s="22" t="s">
        <v>1441</v>
      </c>
      <c r="D163" s="22" t="s">
        <v>1442</v>
      </c>
      <c r="E163" s="22" t="s">
        <v>1443</v>
      </c>
      <c r="F163" s="22">
        <v>245.0</v>
      </c>
      <c r="G163" s="22">
        <v>122.0</v>
      </c>
      <c r="H163" s="22" t="b">
        <f>(RIGHT('2024_Draft_team'!$C163,8)="(Keeper)")</f>
        <v>1</v>
      </c>
      <c r="I163" s="25" t="str">
        <f>IF(RIGHT(LEFT('2024_Draft_team'!$A163,3))="/",RIGHT(LEFT('2024_Draft_team'!$A163,2),1),RIGHT(LEFT('2024_Draft_team'!$A163,3),2))</f>
        <v>27</v>
      </c>
      <c r="J163" s="26">
        <f>IF(OR(AND(('2024_Draft_team'!$I163-4)&lt;=0,'2024_Draft_team'!$H163=TRUE),('2024_Draft_team'!$R163=TRUE)),"N/A",IF('2024_Draft_team'!$H163=TRUE,'2024_Draft_team'!$I163-4,'2024_Draft_team'!$I163-0))</f>
        <v>23</v>
      </c>
      <c r="K163" s="22" t="s">
        <v>367</v>
      </c>
      <c r="L163" s="22" t="s">
        <v>368</v>
      </c>
      <c r="M163" s="22" t="s">
        <v>131</v>
      </c>
      <c r="N163" s="22" t="s">
        <v>563</v>
      </c>
      <c r="O163" s="22" t="s">
        <v>32</v>
      </c>
      <c r="P163" s="22" t="s">
        <v>79</v>
      </c>
      <c r="Q163" s="22" t="str">
        <f>'2024_Draft_team'!$K163&amp;'2024_Draft_team'!$L163&amp;'2024_Draft_team'!$M163</f>
        <v>IvanPaceJr.</v>
      </c>
      <c r="R163" s="22" t="b">
        <f t="array" ref="R163">IFERROR((INDEX('2024_Transactions'!$J$2:$J$339,MATCH(1,('2024_Draft_team'!$Q163='2024_Transactions'!$C$2:$C$339)*('2024_Draft_team'!$B163='2024_Transactions'!$B$2:$B$339)*('2024_Transactions'!$J$2:$J$339="Dropped"),0))="Dropped"),FALSE)</f>
        <v>0</v>
      </c>
    </row>
    <row r="164" ht="14.25" customHeight="1">
      <c r="A164" s="22" t="s">
        <v>1444</v>
      </c>
      <c r="B164" s="22" t="s">
        <v>5</v>
      </c>
      <c r="C164" s="22" t="s">
        <v>1445</v>
      </c>
      <c r="D164" s="22" t="s">
        <v>1446</v>
      </c>
      <c r="E164" s="22" t="s">
        <v>1447</v>
      </c>
      <c r="F164" s="22">
        <v>511.0</v>
      </c>
      <c r="G164" s="22">
        <v>458.0</v>
      </c>
      <c r="H164" s="22" t="b">
        <f>(RIGHT('2024_Draft_team'!$C164,8)="(Keeper)")</f>
        <v>0</v>
      </c>
      <c r="I164" s="25" t="str">
        <f>IF(RIGHT(LEFT('2024_Draft_team'!$A164,3))="/",RIGHT(LEFT('2024_Draft_team'!$A164,2),1),RIGHT(LEFT('2024_Draft_team'!$A164,3),2))</f>
        <v>1</v>
      </c>
      <c r="J164" s="26">
        <f>IF(OR(AND(('2024_Draft_team'!$I164-4)&lt;=0,'2024_Draft_team'!$H164=TRUE),('2024_Draft_team'!$R164=TRUE)),"N/A",IF('2024_Draft_team'!$H164=TRUE,'2024_Draft_team'!$I164-4,'2024_Draft_team'!$I164-0))</f>
        <v>1</v>
      </c>
      <c r="K164" s="22" t="s">
        <v>43</v>
      </c>
      <c r="L164" s="22" t="s">
        <v>44</v>
      </c>
      <c r="M164" s="22" t="s">
        <v>39</v>
      </c>
      <c r="N164" s="22" t="s">
        <v>32</v>
      </c>
      <c r="O164" s="22" t="s">
        <v>45</v>
      </c>
      <c r="P164" s="22"/>
      <c r="Q164" s="22" t="str">
        <f>'2024_Draft_team'!$K164&amp;'2024_Draft_team'!$L164</f>
        <v>JoshJacobs</v>
      </c>
      <c r="R164" s="22" t="b">
        <f t="array" ref="R164">IFERROR((INDEX('2024_Transactions'!$J$2:$J$339,MATCH(1,('2024_Draft_team'!$Q164='2024_Transactions'!$C$2:$C$339)*('2024_Draft_team'!$B164='2024_Transactions'!$B$2:$B$339)*('2024_Transactions'!$J$2:$J$339="Dropped"),0))="Dropped"),FALSE)</f>
        <v>0</v>
      </c>
    </row>
    <row r="165" ht="14.25" customHeight="1">
      <c r="A165" s="22" t="s">
        <v>1448</v>
      </c>
      <c r="B165" s="22" t="s">
        <v>5</v>
      </c>
      <c r="C165" s="22" t="s">
        <v>1449</v>
      </c>
      <c r="D165" s="22" t="s">
        <v>897</v>
      </c>
      <c r="E165" s="22" t="s">
        <v>1450</v>
      </c>
      <c r="F165" s="22">
        <v>64.0</v>
      </c>
      <c r="G165" s="22">
        <v>64.0</v>
      </c>
      <c r="H165" s="22" t="b">
        <f>(RIGHT('2024_Draft_team'!$C165,8)="(Keeper)")</f>
        <v>1</v>
      </c>
      <c r="I165" s="25" t="str">
        <f>IF(RIGHT(LEFT('2024_Draft_team'!$A165,3))="/",RIGHT(LEFT('2024_Draft_team'!$A165,2),1),RIGHT(LEFT('2024_Draft_team'!$A165,3),2))</f>
        <v>2</v>
      </c>
      <c r="J165" s="26" t="str">
        <f>IF(OR(AND(('2024_Draft_team'!$I165-4)&lt;=0,'2024_Draft_team'!$H165=TRUE),('2024_Draft_team'!$R165=TRUE)),"N/A",IF('2024_Draft_team'!$H165=TRUE,'2024_Draft_team'!$I165-4,'2024_Draft_team'!$I165-0))</f>
        <v>N/A</v>
      </c>
      <c r="K165" s="22" t="s">
        <v>113</v>
      </c>
      <c r="L165" s="22" t="s">
        <v>114</v>
      </c>
      <c r="M165" s="22" t="s">
        <v>39</v>
      </c>
      <c r="N165" s="22" t="s">
        <v>32</v>
      </c>
      <c r="O165" s="22" t="s">
        <v>37</v>
      </c>
      <c r="P165" s="22" t="s">
        <v>890</v>
      </c>
      <c r="Q165" s="22" t="str">
        <f>'2024_Draft_team'!$K165&amp;'2024_Draft_team'!$L165</f>
        <v>ChristianMcCaffrey</v>
      </c>
      <c r="R165" s="22" t="b">
        <f t="array" ref="R165">IFERROR((INDEX('2024_Transactions'!$J$2:$J$339,MATCH(1,('2024_Draft_team'!$Q165='2024_Transactions'!$C$2:$C$339)*('2024_Draft_team'!$B165='2024_Transactions'!$B$2:$B$339)*('2024_Transactions'!$J$2:$J$339="Dropped"),0))="Dropped"),FALSE)</f>
        <v>0</v>
      </c>
    </row>
    <row r="166" ht="14.25" customHeight="1">
      <c r="A166" s="22" t="s">
        <v>1451</v>
      </c>
      <c r="B166" s="22" t="s">
        <v>5</v>
      </c>
      <c r="C166" s="22" t="s">
        <v>1452</v>
      </c>
      <c r="D166" s="22" t="s">
        <v>1453</v>
      </c>
      <c r="E166" s="22" t="s">
        <v>1454</v>
      </c>
      <c r="F166" s="22">
        <v>378.0</v>
      </c>
      <c r="G166" s="22">
        <v>317.0</v>
      </c>
      <c r="H166" s="22" t="b">
        <f>(RIGHT('2024_Draft_team'!$C166,8)="(Keeper)")</f>
        <v>0</v>
      </c>
      <c r="I166" s="25" t="str">
        <f>IF(RIGHT(LEFT('2024_Draft_team'!$A166,3))="/",RIGHT(LEFT('2024_Draft_team'!$A166,2),1),RIGHT(LEFT('2024_Draft_team'!$A166,3),2))</f>
        <v>3</v>
      </c>
      <c r="J166" s="26">
        <f>IF(OR(AND(('2024_Draft_team'!$I166-4)&lt;=0,'2024_Draft_team'!$H166=TRUE),('2024_Draft_team'!$R166=TRUE)),"N/A",IF('2024_Draft_team'!$H166=TRUE,'2024_Draft_team'!$I166-4,'2024_Draft_team'!$I166-0))</f>
        <v>3</v>
      </c>
      <c r="K166" s="22" t="s">
        <v>47</v>
      </c>
      <c r="L166" s="22" t="s">
        <v>48</v>
      </c>
      <c r="M166" s="22" t="s">
        <v>567</v>
      </c>
      <c r="N166" s="22" t="s">
        <v>32</v>
      </c>
      <c r="O166" s="22" t="s">
        <v>49</v>
      </c>
      <c r="P166" s="22"/>
      <c r="Q166" s="22" t="str">
        <f>'2024_Draft_team'!$K166&amp;'2024_Draft_team'!$L166</f>
        <v>DavanteAdams</v>
      </c>
      <c r="R166" s="22" t="b">
        <f t="array" ref="R166">IFERROR((INDEX('2024_Transactions'!$J$2:$J$339,MATCH(1,('2024_Draft_team'!$Q166='2024_Transactions'!$C$2:$C$339)*('2024_Draft_team'!$B166='2024_Transactions'!$B$2:$B$339)*('2024_Transactions'!$J$2:$J$339="Dropped"),0))="Dropped"),FALSE)</f>
        <v>0</v>
      </c>
    </row>
    <row r="167" ht="14.25" customHeight="1">
      <c r="A167" s="22" t="s">
        <v>1455</v>
      </c>
      <c r="B167" s="22" t="s">
        <v>5</v>
      </c>
      <c r="C167" s="22" t="s">
        <v>1456</v>
      </c>
      <c r="D167" s="22" t="s">
        <v>897</v>
      </c>
      <c r="E167" s="22" t="s">
        <v>1457</v>
      </c>
      <c r="F167" s="22">
        <v>271.0</v>
      </c>
      <c r="G167" s="22">
        <v>271.0</v>
      </c>
      <c r="H167" s="22" t="b">
        <f>(RIGHT('2024_Draft_team'!$C167,8)="(Keeper)")</f>
        <v>1</v>
      </c>
      <c r="I167" s="25" t="str">
        <f>IF(RIGHT(LEFT('2024_Draft_team'!$A167,3))="/",RIGHT(LEFT('2024_Draft_team'!$A167,2),1),RIGHT(LEFT('2024_Draft_team'!$A167,3),2))</f>
        <v>4</v>
      </c>
      <c r="J167" s="26" t="str">
        <f>IF(OR(AND(('2024_Draft_team'!$I167-4)&lt;=0,'2024_Draft_team'!$H167=TRUE),('2024_Draft_team'!$R167=TRUE)),"N/A",IF('2024_Draft_team'!$H167=TRUE,'2024_Draft_team'!$I167-4,'2024_Draft_team'!$I167-0))</f>
        <v>N/A</v>
      </c>
      <c r="K167" s="22" t="s">
        <v>111</v>
      </c>
      <c r="L167" s="22" t="s">
        <v>112</v>
      </c>
      <c r="M167" s="22" t="s">
        <v>29</v>
      </c>
      <c r="N167" s="22" t="s">
        <v>32</v>
      </c>
      <c r="O167" s="22" t="s">
        <v>87</v>
      </c>
      <c r="P167" s="22" t="s">
        <v>890</v>
      </c>
      <c r="Q167" s="22" t="str">
        <f>'2024_Draft_team'!$K167&amp;'2024_Draft_team'!$L167</f>
        <v>DakPrescott</v>
      </c>
      <c r="R167" s="22" t="b">
        <f t="array" ref="R167">IFERROR((INDEX('2024_Transactions'!$J$2:$J$339,MATCH(1,('2024_Draft_team'!$Q167='2024_Transactions'!$C$2:$C$339)*('2024_Draft_team'!$B167='2024_Transactions'!$B$2:$B$339)*('2024_Transactions'!$J$2:$J$339="Dropped"),0))="Dropped"),FALSE)</f>
        <v>0</v>
      </c>
    </row>
    <row r="168" ht="14.25" customHeight="1">
      <c r="A168" s="22" t="s">
        <v>1458</v>
      </c>
      <c r="B168" s="22" t="s">
        <v>5</v>
      </c>
      <c r="C168" s="22" t="s">
        <v>1459</v>
      </c>
      <c r="D168" s="22" t="s">
        <v>1460</v>
      </c>
      <c r="E168" s="22" t="s">
        <v>1461</v>
      </c>
      <c r="F168" s="22">
        <v>46.0</v>
      </c>
      <c r="G168" s="22">
        <v>0.0</v>
      </c>
      <c r="H168" s="22" t="b">
        <f>(RIGHT('2024_Draft_team'!$C168,8)="(Keeper)")</f>
        <v>0</v>
      </c>
      <c r="I168" s="25" t="str">
        <f>IF(RIGHT(LEFT('2024_Draft_team'!$A168,3))="/",RIGHT(LEFT('2024_Draft_team'!$A168,2),1),RIGHT(LEFT('2024_Draft_team'!$A168,3),2))</f>
        <v>5</v>
      </c>
      <c r="J168" s="26">
        <f>IF(OR(AND(('2024_Draft_team'!$I168-4)&lt;=0,'2024_Draft_team'!$H168=TRUE),('2024_Draft_team'!$R168=TRUE)),"N/A",IF('2024_Draft_team'!$H168=TRUE,'2024_Draft_team'!$I168-4,'2024_Draft_team'!$I168-0))</f>
        <v>5</v>
      </c>
      <c r="K168" s="22" t="s">
        <v>1462</v>
      </c>
      <c r="L168" s="22" t="s">
        <v>212</v>
      </c>
      <c r="M168" s="22" t="s">
        <v>39</v>
      </c>
      <c r="N168" s="22" t="s">
        <v>32</v>
      </c>
      <c r="O168" s="22" t="s">
        <v>76</v>
      </c>
      <c r="P168" s="22"/>
      <c r="Q168" s="22" t="str">
        <f>'2024_Draft_team'!$K168&amp;'2024_Draft_team'!$L168</f>
        <v>ZamirWhite</v>
      </c>
      <c r="R168" s="22" t="b">
        <f t="array" ref="R168">IFERROR((INDEX('2024_Transactions'!$J$2:$J$339,MATCH(1,('2024_Draft_team'!$Q168='2024_Transactions'!$C$2:$C$339)*('2024_Draft_team'!$B168='2024_Transactions'!$B$2:$B$339)*('2024_Transactions'!$J$2:$J$339="Dropped"),0))="Dropped"),FALSE)</f>
        <v>0</v>
      </c>
    </row>
    <row r="169" ht="14.25" customHeight="1">
      <c r="A169" s="22" t="s">
        <v>1463</v>
      </c>
      <c r="B169" s="22" t="s">
        <v>5</v>
      </c>
      <c r="C169" s="22" t="s">
        <v>1464</v>
      </c>
      <c r="D169" s="22" t="s">
        <v>1465</v>
      </c>
      <c r="E169" s="22" t="s">
        <v>1466</v>
      </c>
      <c r="F169" s="22">
        <v>336.0</v>
      </c>
      <c r="G169" s="22">
        <v>209.0</v>
      </c>
      <c r="H169" s="22" t="b">
        <f>(RIGHT('2024_Draft_team'!$C169,8)="(Keeper)")</f>
        <v>0</v>
      </c>
      <c r="I169" s="25" t="str">
        <f>IF(RIGHT(LEFT('2024_Draft_team'!$A169,3))="/",RIGHT(LEFT('2024_Draft_team'!$A169,2),1),RIGHT(LEFT('2024_Draft_team'!$A169,3),2))</f>
        <v>6</v>
      </c>
      <c r="J169" s="26">
        <f>IF(OR(AND(('2024_Draft_team'!$I169-4)&lt;=0,'2024_Draft_team'!$H169=TRUE),('2024_Draft_team'!$R169=TRUE)),"N/A",IF('2024_Draft_team'!$H169=TRUE,'2024_Draft_team'!$I169-4,'2024_Draft_team'!$I169-0))</f>
        <v>6</v>
      </c>
      <c r="K169" s="22" t="s">
        <v>30</v>
      </c>
      <c r="L169" s="22" t="s">
        <v>31</v>
      </c>
      <c r="M169" s="22" t="s">
        <v>29</v>
      </c>
      <c r="N169" s="22" t="s">
        <v>32</v>
      </c>
      <c r="O169" s="22" t="s">
        <v>33</v>
      </c>
      <c r="P169" s="22"/>
      <c r="Q169" s="22" t="str">
        <f>'2024_Draft_team'!$K169&amp;'2024_Draft_team'!$L169</f>
        <v>DerekCarr</v>
      </c>
      <c r="R169" s="22" t="b">
        <f t="array" ref="R169">IFERROR((INDEX('2024_Transactions'!$J$2:$J$339,MATCH(1,('2024_Draft_team'!$Q169='2024_Transactions'!$C$2:$C$339)*('2024_Draft_team'!$B169='2024_Transactions'!$B$2:$B$339)*('2024_Transactions'!$J$2:$J$339="Dropped"),0))="Dropped"),FALSE)</f>
        <v>0</v>
      </c>
    </row>
    <row r="170" ht="14.25" customHeight="1">
      <c r="A170" s="22" t="s">
        <v>1467</v>
      </c>
      <c r="B170" s="22" t="s">
        <v>5</v>
      </c>
      <c r="C170" s="22" t="s">
        <v>1468</v>
      </c>
      <c r="D170" s="22" t="s">
        <v>1469</v>
      </c>
      <c r="E170" s="22" t="s">
        <v>1470</v>
      </c>
      <c r="F170" s="22">
        <v>132.0</v>
      </c>
      <c r="G170" s="22">
        <v>26.0</v>
      </c>
      <c r="H170" s="22" t="b">
        <f>(RIGHT('2024_Draft_team'!$C170,8)="(Keeper)")</f>
        <v>0</v>
      </c>
      <c r="I170" s="25" t="str">
        <f>IF(RIGHT(LEFT('2024_Draft_team'!$A170,3))="/",RIGHT(LEFT('2024_Draft_team'!$A170,2),1),RIGHT(LEFT('2024_Draft_team'!$A170,3),2))</f>
        <v>7</v>
      </c>
      <c r="J170" s="26">
        <f>IF(OR(AND(('2024_Draft_team'!$I170-4)&lt;=0,'2024_Draft_team'!$H170=TRUE),('2024_Draft_team'!$R170=TRUE)),"N/A",IF('2024_Draft_team'!$H170=TRUE,'2024_Draft_team'!$I170-4,'2024_Draft_team'!$I170-0))</f>
        <v>7</v>
      </c>
      <c r="K170" s="22" t="s">
        <v>106</v>
      </c>
      <c r="L170" s="22" t="s">
        <v>107</v>
      </c>
      <c r="M170" s="22" t="s">
        <v>563</v>
      </c>
      <c r="N170" s="22" t="s">
        <v>32</v>
      </c>
      <c r="O170" s="22" t="s">
        <v>82</v>
      </c>
      <c r="P170" s="22"/>
      <c r="Q170" s="22" t="str">
        <f>'2024_Draft_team'!$K170&amp;'2024_Draft_team'!$L170</f>
        <v>KayvonThibodeaux</v>
      </c>
      <c r="R170" s="22" t="b">
        <f t="array" ref="R170">IFERROR((INDEX('2024_Transactions'!$J$2:$J$339,MATCH(1,('2024_Draft_team'!$Q170='2024_Transactions'!$C$2:$C$339)*('2024_Draft_team'!$B170='2024_Transactions'!$B$2:$B$339)*('2024_Transactions'!$J$2:$J$339="Dropped"),0))="Dropped"),FALSE)</f>
        <v>0</v>
      </c>
    </row>
    <row r="171" ht="14.25" customHeight="1">
      <c r="A171" s="22" t="s">
        <v>1471</v>
      </c>
      <c r="B171" s="22" t="s">
        <v>5</v>
      </c>
      <c r="C171" s="22" t="s">
        <v>1472</v>
      </c>
      <c r="D171" s="22" t="s">
        <v>897</v>
      </c>
      <c r="E171" s="22" t="s">
        <v>1473</v>
      </c>
      <c r="F171" s="22">
        <v>84.0</v>
      </c>
      <c r="G171" s="22">
        <v>84.0</v>
      </c>
      <c r="H171" s="22" t="b">
        <f>(RIGHT('2024_Draft_team'!$C171,8)="(Keeper)")</f>
        <v>1</v>
      </c>
      <c r="I171" s="25" t="str">
        <f>IF(RIGHT(LEFT('2024_Draft_team'!$A171,3))="/",RIGHT(LEFT('2024_Draft_team'!$A171,2),1),RIGHT(LEFT('2024_Draft_team'!$A171,3),2))</f>
        <v>8</v>
      </c>
      <c r="J171" s="26">
        <f>IF(OR(AND(('2024_Draft_team'!$I171-4)&lt;=0,'2024_Draft_team'!$H171=TRUE),('2024_Draft_team'!$R171=TRUE)),"N/A",IF('2024_Draft_team'!$H171=TRUE,'2024_Draft_team'!$I171-4,'2024_Draft_team'!$I171-0))</f>
        <v>4</v>
      </c>
      <c r="K171" s="22" t="s">
        <v>120</v>
      </c>
      <c r="L171" s="22" t="s">
        <v>121</v>
      </c>
      <c r="M171" s="22" t="s">
        <v>563</v>
      </c>
      <c r="N171" s="22" t="s">
        <v>32</v>
      </c>
      <c r="O171" s="22" t="s">
        <v>103</v>
      </c>
      <c r="P171" s="22" t="s">
        <v>890</v>
      </c>
      <c r="Q171" s="22" t="str">
        <f>'2024_Draft_team'!$K171&amp;'2024_Draft_team'!$L171</f>
        <v>AlexSingleton</v>
      </c>
      <c r="R171" s="22" t="b">
        <f t="array" ref="R171">IFERROR((INDEX('2024_Transactions'!$J$2:$J$339,MATCH(1,('2024_Draft_team'!$Q171='2024_Transactions'!$C$2:$C$339)*('2024_Draft_team'!$B171='2024_Transactions'!$B$2:$B$339)*('2024_Transactions'!$J$2:$J$339="Dropped"),0))="Dropped"),FALSE)</f>
        <v>0</v>
      </c>
    </row>
    <row r="172" ht="14.25" customHeight="1">
      <c r="A172" s="22" t="s">
        <v>1474</v>
      </c>
      <c r="B172" s="22" t="s">
        <v>5</v>
      </c>
      <c r="C172" s="22" t="s">
        <v>1475</v>
      </c>
      <c r="D172" s="22" t="s">
        <v>1476</v>
      </c>
      <c r="E172" s="22" t="s">
        <v>1477</v>
      </c>
      <c r="F172" s="22">
        <v>268.0</v>
      </c>
      <c r="G172" s="22">
        <v>268.0</v>
      </c>
      <c r="H172" s="22" t="b">
        <f>(RIGHT('2024_Draft_team'!$C172,8)="(Keeper)")</f>
        <v>0</v>
      </c>
      <c r="I172" s="25" t="str">
        <f>IF(RIGHT(LEFT('2024_Draft_team'!$A172,3))="/",RIGHT(LEFT('2024_Draft_team'!$A172,2),1),RIGHT(LEFT('2024_Draft_team'!$A172,3),2))</f>
        <v>9</v>
      </c>
      <c r="J172" s="26">
        <f>IF(OR(AND(('2024_Draft_team'!$I172-4)&lt;=0,'2024_Draft_team'!$H172=TRUE),('2024_Draft_team'!$R172=TRUE)),"N/A",IF('2024_Draft_team'!$H172=TRUE,'2024_Draft_team'!$I172-4,'2024_Draft_team'!$I172-0))</f>
        <v>9</v>
      </c>
      <c r="K172" s="22" t="s">
        <v>69</v>
      </c>
      <c r="L172" s="22" t="s">
        <v>70</v>
      </c>
      <c r="M172" s="22" t="s">
        <v>573</v>
      </c>
      <c r="N172" s="22" t="s">
        <v>32</v>
      </c>
      <c r="O172" s="22" t="s">
        <v>71</v>
      </c>
      <c r="P172" s="22"/>
      <c r="Q172" s="22" t="str">
        <f>'2024_Draft_team'!$K172&amp;'2024_Draft_team'!$L172</f>
        <v>AmaniHooker</v>
      </c>
      <c r="R172" s="22" t="b">
        <f t="array" ref="R172">IFERROR((INDEX('2024_Transactions'!$J$2:$J$339,MATCH(1,('2024_Draft_team'!$Q172='2024_Transactions'!$C$2:$C$339)*('2024_Draft_team'!$B172='2024_Transactions'!$B$2:$B$339)*('2024_Transactions'!$J$2:$J$339="Dropped"),0))="Dropped"),FALSE)</f>
        <v>0</v>
      </c>
    </row>
    <row r="173" ht="14.25" customHeight="1">
      <c r="A173" s="22" t="s">
        <v>1478</v>
      </c>
      <c r="B173" s="22" t="s">
        <v>5</v>
      </c>
      <c r="C173" s="22" t="s">
        <v>1479</v>
      </c>
      <c r="D173" s="22" t="s">
        <v>1480</v>
      </c>
      <c r="E173" s="22" t="s">
        <v>1481</v>
      </c>
      <c r="F173" s="22">
        <v>375.0</v>
      </c>
      <c r="G173" s="22">
        <v>318.0</v>
      </c>
      <c r="H173" s="22" t="b">
        <f>(RIGHT('2024_Draft_team'!$C173,8)="(Keeper)")</f>
        <v>0</v>
      </c>
      <c r="I173" s="25" t="str">
        <f>IF(RIGHT(LEFT('2024_Draft_team'!$A173,3))="/",RIGHT(LEFT('2024_Draft_team'!$A173,2),1),RIGHT(LEFT('2024_Draft_team'!$A173,3),2))</f>
        <v>10</v>
      </c>
      <c r="J173" s="26">
        <f>IF(OR(AND(('2024_Draft_team'!$I173-4)&lt;=0,'2024_Draft_team'!$H173=TRUE),('2024_Draft_team'!$R173=TRUE)),"N/A",IF('2024_Draft_team'!$H173=TRUE,'2024_Draft_team'!$I173-4,'2024_Draft_team'!$I173-0))</f>
        <v>10</v>
      </c>
      <c r="K173" s="22" t="s">
        <v>72</v>
      </c>
      <c r="L173" s="22" t="s">
        <v>73</v>
      </c>
      <c r="M173" s="22" t="s">
        <v>573</v>
      </c>
      <c r="N173" s="22" t="s">
        <v>32</v>
      </c>
      <c r="O173" s="22" t="s">
        <v>45</v>
      </c>
      <c r="P173" s="22"/>
      <c r="Q173" s="22" t="str">
        <f>'2024_Draft_team'!$K173&amp;'2024_Draft_team'!$L173</f>
        <v>XavierMcKinney</v>
      </c>
      <c r="R173" s="22" t="b">
        <f t="array" ref="R173">IFERROR((INDEX('2024_Transactions'!$J$2:$J$339,MATCH(1,('2024_Draft_team'!$Q173='2024_Transactions'!$C$2:$C$339)*('2024_Draft_team'!$B173='2024_Transactions'!$B$2:$B$339)*('2024_Transactions'!$J$2:$J$339="Dropped"),0))="Dropped"),FALSE)</f>
        <v>0</v>
      </c>
    </row>
    <row r="174" ht="14.25" customHeight="1">
      <c r="A174" s="22" t="s">
        <v>1482</v>
      </c>
      <c r="B174" s="22" t="s">
        <v>5</v>
      </c>
      <c r="C174" s="22" t="s">
        <v>1483</v>
      </c>
      <c r="D174" s="22" t="s">
        <v>897</v>
      </c>
      <c r="E174" s="22" t="s">
        <v>1484</v>
      </c>
      <c r="F174" s="22">
        <v>225.0</v>
      </c>
      <c r="G174" s="22">
        <v>82.0</v>
      </c>
      <c r="H174" s="22" t="b">
        <f>(RIGHT('2024_Draft_team'!$C174,8)="(Keeper)")</f>
        <v>1</v>
      </c>
      <c r="I174" s="25" t="str">
        <f>IF(RIGHT(LEFT('2024_Draft_team'!$A174,3))="/",RIGHT(LEFT('2024_Draft_team'!$A174,2),1),RIGHT(LEFT('2024_Draft_team'!$A174,3),2))</f>
        <v>11</v>
      </c>
      <c r="J174" s="26">
        <f>IF(OR(AND(('2024_Draft_team'!$I174-4)&lt;=0,'2024_Draft_team'!$H174=TRUE),('2024_Draft_team'!$R174=TRUE)),"N/A",IF('2024_Draft_team'!$H174=TRUE,'2024_Draft_team'!$I174-4,'2024_Draft_team'!$I174-0))</f>
        <v>7</v>
      </c>
      <c r="K174" s="22" t="s">
        <v>91</v>
      </c>
      <c r="L174" s="22" t="s">
        <v>92</v>
      </c>
      <c r="M174" s="22" t="s">
        <v>567</v>
      </c>
      <c r="N174" s="22" t="s">
        <v>32</v>
      </c>
      <c r="O174" s="22" t="s">
        <v>93</v>
      </c>
      <c r="P174" s="22" t="s">
        <v>890</v>
      </c>
      <c r="Q174" s="22" t="str">
        <f>'2024_Draft_team'!$K174&amp;'2024_Draft_team'!$L174</f>
        <v>AmariCooper</v>
      </c>
      <c r="R174" s="22" t="b">
        <f t="array" ref="R174">IFERROR((INDEX('2024_Transactions'!$J$2:$J$339,MATCH(1,('2024_Draft_team'!$Q174='2024_Transactions'!$C$2:$C$339)*('2024_Draft_team'!$B174='2024_Transactions'!$B$2:$B$339)*('2024_Transactions'!$J$2:$J$339="Dropped"),0))="Dropped"),FALSE)</f>
        <v>0</v>
      </c>
    </row>
    <row r="175" ht="14.25" customHeight="1">
      <c r="A175" s="22" t="s">
        <v>1485</v>
      </c>
      <c r="B175" s="22" t="s">
        <v>5</v>
      </c>
      <c r="C175" s="22" t="s">
        <v>1486</v>
      </c>
      <c r="D175" s="22" t="s">
        <v>897</v>
      </c>
      <c r="E175" s="22" t="s">
        <v>1487</v>
      </c>
      <c r="F175" s="22">
        <v>571.0</v>
      </c>
      <c r="G175" s="22">
        <v>482.0</v>
      </c>
      <c r="H175" s="22" t="b">
        <f>(RIGHT('2024_Draft_team'!$C175,8)="(Keeper)")</f>
        <v>1</v>
      </c>
      <c r="I175" s="25" t="str">
        <f>IF(RIGHT(LEFT('2024_Draft_team'!$A175,3))="/",RIGHT(LEFT('2024_Draft_team'!$A175,2),1),RIGHT(LEFT('2024_Draft_team'!$A175,3),2))</f>
        <v>12</v>
      </c>
      <c r="J175" s="26">
        <f>IF(OR(AND(('2024_Draft_team'!$I175-4)&lt;=0,'2024_Draft_team'!$H175=TRUE),('2024_Draft_team'!$R175=TRUE)),"N/A",IF('2024_Draft_team'!$H175=TRUE,'2024_Draft_team'!$I175-4,'2024_Draft_team'!$I175-0))</f>
        <v>8</v>
      </c>
      <c r="K175" s="22" t="s">
        <v>35</v>
      </c>
      <c r="L175" s="22" t="s">
        <v>36</v>
      </c>
      <c r="M175" s="22" t="s">
        <v>29</v>
      </c>
      <c r="N175" s="22" t="s">
        <v>32</v>
      </c>
      <c r="O175" s="22" t="s">
        <v>37</v>
      </c>
      <c r="P175" s="22" t="s">
        <v>890</v>
      </c>
      <c r="Q175" s="22" t="str">
        <f>'2024_Draft_team'!$K175&amp;'2024_Draft_team'!$L175</f>
        <v>BrockPurdy</v>
      </c>
      <c r="R175" s="22" t="b">
        <f t="array" ref="R175">IFERROR((INDEX('2024_Transactions'!$J$2:$J$339,MATCH(1,('2024_Draft_team'!$Q175='2024_Transactions'!$C$2:$C$339)*('2024_Draft_team'!$B175='2024_Transactions'!$B$2:$B$339)*('2024_Transactions'!$J$2:$J$339="Dropped"),0))="Dropped"),FALSE)</f>
        <v>0</v>
      </c>
    </row>
    <row r="176" ht="14.25" customHeight="1">
      <c r="A176" s="22" t="s">
        <v>1488</v>
      </c>
      <c r="B176" s="22" t="s">
        <v>5</v>
      </c>
      <c r="C176" s="22" t="s">
        <v>1489</v>
      </c>
      <c r="D176" s="22" t="s">
        <v>1490</v>
      </c>
      <c r="E176" s="22" t="s">
        <v>1491</v>
      </c>
      <c r="F176" s="22">
        <v>166.0</v>
      </c>
      <c r="G176" s="22">
        <v>0.0</v>
      </c>
      <c r="H176" s="22" t="b">
        <f>(RIGHT('2024_Draft_team'!$C176,8)="(Keeper)")</f>
        <v>0</v>
      </c>
      <c r="I176" s="25" t="str">
        <f>IF(RIGHT(LEFT('2024_Draft_team'!$A176,3))="/",RIGHT(LEFT('2024_Draft_team'!$A176,2),1),RIGHT(LEFT('2024_Draft_team'!$A176,3),2))</f>
        <v>13</v>
      </c>
      <c r="J176" s="26">
        <f>IF(OR(AND(('2024_Draft_team'!$I176-4)&lt;=0,'2024_Draft_team'!$H176=TRUE),('2024_Draft_team'!$R176=TRUE)),"N/A",IF('2024_Draft_team'!$H176=TRUE,'2024_Draft_team'!$I176-4,'2024_Draft_team'!$I176-0))</f>
        <v>13</v>
      </c>
      <c r="K176" s="22" t="s">
        <v>113</v>
      </c>
      <c r="L176" s="22" t="s">
        <v>836</v>
      </c>
      <c r="M176" s="22" t="s">
        <v>567</v>
      </c>
      <c r="N176" s="22" t="s">
        <v>32</v>
      </c>
      <c r="O176" s="22" t="s">
        <v>45</v>
      </c>
      <c r="P176" s="22"/>
      <c r="Q176" s="22" t="str">
        <f>'2024_Draft_team'!$K176&amp;'2024_Draft_team'!$L176</f>
        <v>ChristianWatson</v>
      </c>
      <c r="R176" s="22" t="b">
        <f t="array" ref="R176">IFERROR((INDEX('2024_Transactions'!$J$2:$J$339,MATCH(1,('2024_Draft_team'!$Q176='2024_Transactions'!$C$2:$C$339)*('2024_Draft_team'!$B176='2024_Transactions'!$B$2:$B$339)*('2024_Transactions'!$J$2:$J$339="Dropped"),0))="Dropped"),FALSE)</f>
        <v>0</v>
      </c>
    </row>
    <row r="177" ht="14.25" customHeight="1">
      <c r="A177" s="22" t="s">
        <v>1492</v>
      </c>
      <c r="B177" s="22" t="s">
        <v>5</v>
      </c>
      <c r="C177" s="22" t="s">
        <v>1493</v>
      </c>
      <c r="D177" s="22" t="s">
        <v>897</v>
      </c>
      <c r="E177" s="22" t="s">
        <v>1494</v>
      </c>
      <c r="F177" s="22">
        <v>114.0</v>
      </c>
      <c r="G177" s="22">
        <v>0.0</v>
      </c>
      <c r="H177" s="22" t="b">
        <f>(RIGHT('2024_Draft_team'!$C177,8)="(Keeper)")</f>
        <v>1</v>
      </c>
      <c r="I177" s="25" t="str">
        <f>IF(RIGHT(LEFT('2024_Draft_team'!$A177,3))="/",RIGHT(LEFT('2024_Draft_team'!$A177,2),1),RIGHT(LEFT('2024_Draft_team'!$A177,3),2))</f>
        <v>14</v>
      </c>
      <c r="J177" s="26">
        <f>IF(OR(AND(('2024_Draft_team'!$I177-4)&lt;=0,'2024_Draft_team'!$H177=TRUE),('2024_Draft_team'!$R177=TRUE)),"N/A",IF('2024_Draft_team'!$H177=TRUE,'2024_Draft_team'!$I177-4,'2024_Draft_team'!$I177-0))</f>
        <v>10</v>
      </c>
      <c r="K177" s="22" t="s">
        <v>113</v>
      </c>
      <c r="L177" s="22" t="s">
        <v>291</v>
      </c>
      <c r="M177" s="22" t="s">
        <v>567</v>
      </c>
      <c r="N177" s="22" t="s">
        <v>32</v>
      </c>
      <c r="O177" s="22" t="s">
        <v>148</v>
      </c>
      <c r="P177" s="22" t="s">
        <v>890</v>
      </c>
      <c r="Q177" s="22" t="str">
        <f>'2024_Draft_team'!$K177&amp;'2024_Draft_team'!$L177</f>
        <v>ChristianKirk</v>
      </c>
      <c r="R177" s="22" t="b">
        <f t="array" ref="R177">IFERROR((INDEX('2024_Transactions'!$J$2:$J$339,MATCH(1,('2024_Draft_team'!$Q177='2024_Transactions'!$C$2:$C$339)*('2024_Draft_team'!$B177='2024_Transactions'!$B$2:$B$339)*('2024_Transactions'!$J$2:$J$339="Dropped"),0))="Dropped"),FALSE)</f>
        <v>0</v>
      </c>
    </row>
    <row r="178" ht="14.25" customHeight="1">
      <c r="A178" s="22" t="s">
        <v>1495</v>
      </c>
      <c r="B178" s="22" t="s">
        <v>5</v>
      </c>
      <c r="C178" s="22" t="s">
        <v>1496</v>
      </c>
      <c r="D178" s="22" t="s">
        <v>897</v>
      </c>
      <c r="E178" s="22" t="s">
        <v>1497</v>
      </c>
      <c r="F178" s="22">
        <v>336.0</v>
      </c>
      <c r="G178" s="22">
        <v>292.0</v>
      </c>
      <c r="H178" s="22" t="b">
        <f>(RIGHT('2024_Draft_team'!$C178,8)="(Keeper)")</f>
        <v>1</v>
      </c>
      <c r="I178" s="25" t="str">
        <f>IF(RIGHT(LEFT('2024_Draft_team'!$A178,3))="/",RIGHT(LEFT('2024_Draft_team'!$A178,2),1),RIGHT(LEFT('2024_Draft_team'!$A178,3),2))</f>
        <v>15</v>
      </c>
      <c r="J178" s="26">
        <f>IF(OR(AND(('2024_Draft_team'!$I178-4)&lt;=0,'2024_Draft_team'!$H178=TRUE),('2024_Draft_team'!$R178=TRUE)),"N/A",IF('2024_Draft_team'!$H178=TRUE,'2024_Draft_team'!$I178-4,'2024_Draft_team'!$I178-0))</f>
        <v>11</v>
      </c>
      <c r="K178" s="22" t="s">
        <v>60</v>
      </c>
      <c r="L178" s="22" t="s">
        <v>61</v>
      </c>
      <c r="M178" s="22" t="s">
        <v>62</v>
      </c>
      <c r="N178" s="22" t="s">
        <v>573</v>
      </c>
      <c r="O178" s="22" t="s">
        <v>32</v>
      </c>
      <c r="P178" s="22" t="s">
        <v>63</v>
      </c>
      <c r="Q178" s="22" t="str">
        <f>'2024_Draft_team'!$K178&amp;'2024_Draft_team'!$L178&amp;'2024_Draft_team'!$M178</f>
        <v>JessieBatesIII</v>
      </c>
      <c r="R178" s="22" t="b">
        <f t="array" ref="R178">IFERROR((INDEX('2024_Transactions'!$J$2:$J$339,MATCH(1,('2024_Draft_team'!$Q178='2024_Transactions'!$C$2:$C$339)*('2024_Draft_team'!$B178='2024_Transactions'!$B$2:$B$339)*('2024_Transactions'!$J$2:$J$339="Dropped"),0))="Dropped"),FALSE)</f>
        <v>0</v>
      </c>
    </row>
    <row r="179" ht="14.25" customHeight="1">
      <c r="A179" s="22" t="s">
        <v>1498</v>
      </c>
      <c r="B179" s="22" t="s">
        <v>5</v>
      </c>
      <c r="C179" s="22" t="s">
        <v>1499</v>
      </c>
      <c r="D179" s="22" t="s">
        <v>1500</v>
      </c>
      <c r="E179" s="22" t="s">
        <v>1501</v>
      </c>
      <c r="F179" s="22">
        <v>107.0</v>
      </c>
      <c r="G179" s="22">
        <v>14.0</v>
      </c>
      <c r="H179" s="22" t="b">
        <f>(RIGHT('2024_Draft_team'!$C179,8)="(Keeper)")</f>
        <v>0</v>
      </c>
      <c r="I179" s="25" t="str">
        <f>IF(RIGHT(LEFT('2024_Draft_team'!$A179,3))="/",RIGHT(LEFT('2024_Draft_team'!$A179,2),1),RIGHT(LEFT('2024_Draft_team'!$A179,3),2))</f>
        <v>16</v>
      </c>
      <c r="J179" s="26">
        <f>IF(OR(AND(('2024_Draft_team'!$I179-4)&lt;=0,'2024_Draft_team'!$H179=TRUE),('2024_Draft_team'!$R179=TRUE)),"N/A",IF('2024_Draft_team'!$H179=TRUE,'2024_Draft_team'!$I179-4,'2024_Draft_team'!$I179-0))</f>
        <v>16</v>
      </c>
      <c r="K179" s="22" t="s">
        <v>40</v>
      </c>
      <c r="L179" s="22" t="s">
        <v>41</v>
      </c>
      <c r="M179" s="22" t="s">
        <v>39</v>
      </c>
      <c r="N179" s="22" t="s">
        <v>32</v>
      </c>
      <c r="O179" s="22" t="s">
        <v>42</v>
      </c>
      <c r="P179" s="22"/>
      <c r="Q179" s="22" t="str">
        <f>'2024_Draft_team'!$K179&amp;'2024_Draft_team'!$L179</f>
        <v>NickChubb</v>
      </c>
      <c r="R179" s="22" t="b">
        <f t="array" ref="R179">IFERROR((INDEX('2024_Transactions'!$J$2:$J$339,MATCH(1,('2024_Draft_team'!$Q179='2024_Transactions'!$C$2:$C$339)*('2024_Draft_team'!$B179='2024_Transactions'!$B$2:$B$339)*('2024_Transactions'!$J$2:$J$339="Dropped"),0))="Dropped"),FALSE)</f>
        <v>0</v>
      </c>
    </row>
    <row r="180" ht="14.25" customHeight="1">
      <c r="A180" s="22" t="s">
        <v>1502</v>
      </c>
      <c r="B180" s="22" t="s">
        <v>5</v>
      </c>
      <c r="C180" s="22" t="s">
        <v>1503</v>
      </c>
      <c r="D180" s="22" t="s">
        <v>923</v>
      </c>
      <c r="E180" s="22" t="s">
        <v>1504</v>
      </c>
      <c r="F180" s="22">
        <v>519.0</v>
      </c>
      <c r="G180" s="22">
        <v>328.0</v>
      </c>
      <c r="H180" s="22" t="b">
        <f>(RIGHT('2024_Draft_team'!$C180,8)="(Keeper)")</f>
        <v>1</v>
      </c>
      <c r="I180" s="25" t="str">
        <f>IF(RIGHT(LEFT('2024_Draft_team'!$A180,3))="/",RIGHT(LEFT('2024_Draft_team'!$A180,2),1),RIGHT(LEFT('2024_Draft_team'!$A180,3),2))</f>
        <v>17</v>
      </c>
      <c r="J180" s="26">
        <f>IF(OR(AND(('2024_Draft_team'!$I180-4)&lt;=0,'2024_Draft_team'!$H180=TRUE),('2024_Draft_team'!$R180=TRUE)),"N/A",IF('2024_Draft_team'!$H180=TRUE,'2024_Draft_team'!$I180-4,'2024_Draft_team'!$I180-0))</f>
        <v>13</v>
      </c>
      <c r="K180" s="22" t="s">
        <v>96</v>
      </c>
      <c r="L180" s="22" t="s">
        <v>97</v>
      </c>
      <c r="M180" s="22" t="s">
        <v>567</v>
      </c>
      <c r="N180" s="22" t="s">
        <v>32</v>
      </c>
      <c r="O180" s="22" t="s">
        <v>98</v>
      </c>
      <c r="P180" s="22" t="s">
        <v>890</v>
      </c>
      <c r="Q180" s="22" t="str">
        <f>'2024_Draft_team'!$K180&amp;'2024_Draft_team'!$L180</f>
        <v>TerryMcLaurin</v>
      </c>
      <c r="R180" s="22" t="b">
        <f t="array" ref="R180">IFERROR((INDEX('2024_Transactions'!$J$2:$J$339,MATCH(1,('2024_Draft_team'!$Q180='2024_Transactions'!$C$2:$C$339)*('2024_Draft_team'!$B180='2024_Transactions'!$B$2:$B$339)*('2024_Transactions'!$J$2:$J$339="Dropped"),0))="Dropped"),FALSE)</f>
        <v>0</v>
      </c>
    </row>
    <row r="181" ht="14.25" customHeight="1">
      <c r="A181" s="22" t="s">
        <v>1505</v>
      </c>
      <c r="B181" s="22" t="s">
        <v>5</v>
      </c>
      <c r="C181" s="22" t="s">
        <v>1506</v>
      </c>
      <c r="D181" s="22" t="s">
        <v>1507</v>
      </c>
      <c r="E181" s="22" t="s">
        <v>1508</v>
      </c>
      <c r="F181" s="22">
        <v>271.0</v>
      </c>
      <c r="G181" s="22">
        <v>106.0</v>
      </c>
      <c r="H181" s="22" t="b">
        <f>(RIGHT('2024_Draft_team'!$C181,8)="(Keeper)")</f>
        <v>0</v>
      </c>
      <c r="I181" s="25" t="str">
        <f>IF(RIGHT(LEFT('2024_Draft_team'!$A181,3))="/",RIGHT(LEFT('2024_Draft_team'!$A181,2),1),RIGHT(LEFT('2024_Draft_team'!$A181,3),2))</f>
        <v>18</v>
      </c>
      <c r="J181" s="26">
        <f>IF(OR(AND(('2024_Draft_team'!$I181-4)&lt;=0,'2024_Draft_team'!$H181=TRUE),('2024_Draft_team'!$R181=TRUE)),"N/A",IF('2024_Draft_team'!$H181=TRUE,'2024_Draft_team'!$I181-4,'2024_Draft_team'!$I181-0))</f>
        <v>18</v>
      </c>
      <c r="K181" s="22" t="s">
        <v>108</v>
      </c>
      <c r="L181" s="22" t="s">
        <v>109</v>
      </c>
      <c r="M181" s="22" t="s">
        <v>573</v>
      </c>
      <c r="N181" s="22" t="s">
        <v>32</v>
      </c>
      <c r="O181" s="22" t="s">
        <v>110</v>
      </c>
      <c r="P181" s="22"/>
      <c r="Q181" s="22" t="str">
        <f>'2024_Draft_team'!$K181&amp;'2024_Draft_team'!$L181</f>
        <v>DevonWitherspoon</v>
      </c>
      <c r="R181" s="22" t="b">
        <f t="array" ref="R181">IFERROR((INDEX('2024_Transactions'!$J$2:$J$339,MATCH(1,('2024_Draft_team'!$Q181='2024_Transactions'!$C$2:$C$339)*('2024_Draft_team'!$B181='2024_Transactions'!$B$2:$B$339)*('2024_Transactions'!$J$2:$J$339="Dropped"),0))="Dropped"),FALSE)</f>
        <v>0</v>
      </c>
    </row>
    <row r="182" ht="14.25" customHeight="1">
      <c r="A182" s="22" t="s">
        <v>1509</v>
      </c>
      <c r="B182" s="22" t="s">
        <v>5</v>
      </c>
      <c r="C182" s="22" t="s">
        <v>1510</v>
      </c>
      <c r="D182" s="22" t="s">
        <v>1511</v>
      </c>
      <c r="E182" s="22" t="s">
        <v>1512</v>
      </c>
      <c r="F182" s="22">
        <v>312.0</v>
      </c>
      <c r="G182" s="22">
        <v>13.0</v>
      </c>
      <c r="H182" s="22" t="b">
        <f>(RIGHT('2024_Draft_team'!$C182,8)="(Keeper)")</f>
        <v>0</v>
      </c>
      <c r="I182" s="25" t="str">
        <f>IF(RIGHT(LEFT('2024_Draft_team'!$A182,3))="/",RIGHT(LEFT('2024_Draft_team'!$A182,2),1),RIGHT(LEFT('2024_Draft_team'!$A182,3),2))</f>
        <v>19</v>
      </c>
      <c r="J182" s="26">
        <f>IF(OR(AND(('2024_Draft_team'!$I182-4)&lt;=0,'2024_Draft_team'!$H182=TRUE),('2024_Draft_team'!$R182=TRUE)),"N/A",IF('2024_Draft_team'!$H182=TRUE,'2024_Draft_team'!$I182-4,'2024_Draft_team'!$I182-0))</f>
        <v>19</v>
      </c>
      <c r="K182" s="22" t="s">
        <v>85</v>
      </c>
      <c r="L182" s="22" t="s">
        <v>86</v>
      </c>
      <c r="M182" s="22" t="s">
        <v>39</v>
      </c>
      <c r="N182" s="22" t="s">
        <v>32</v>
      </c>
      <c r="O182" s="22" t="s">
        <v>87</v>
      </c>
      <c r="P182" s="22"/>
      <c r="Q182" s="22" t="str">
        <f>'2024_Draft_team'!$K182&amp;'2024_Draft_team'!$L182</f>
        <v>RicoDowdle</v>
      </c>
      <c r="R182" s="22" t="b">
        <f t="array" ref="R182">IFERROR((INDEX('2024_Transactions'!$J$2:$J$339,MATCH(1,('2024_Draft_team'!$Q182='2024_Transactions'!$C$2:$C$339)*('2024_Draft_team'!$B182='2024_Transactions'!$B$2:$B$339)*('2024_Transactions'!$J$2:$J$339="Dropped"),0))="Dropped"),FALSE)</f>
        <v>0</v>
      </c>
    </row>
    <row r="183" ht="14.25" customHeight="1">
      <c r="A183" s="22" t="s">
        <v>1513</v>
      </c>
      <c r="B183" s="22" t="s">
        <v>5</v>
      </c>
      <c r="C183" s="22" t="s">
        <v>1514</v>
      </c>
      <c r="D183" s="22" t="s">
        <v>1515</v>
      </c>
      <c r="E183" s="22" t="s">
        <v>1516</v>
      </c>
      <c r="F183" s="22">
        <v>271.0</v>
      </c>
      <c r="G183" s="22">
        <v>131.0</v>
      </c>
      <c r="H183" s="22" t="b">
        <f>(RIGHT('2024_Draft_team'!$C183,8)="(Keeper)")</f>
        <v>0</v>
      </c>
      <c r="I183" s="25" t="str">
        <f>IF(RIGHT(LEFT('2024_Draft_team'!$A183,3))="/",RIGHT(LEFT('2024_Draft_team'!$A183,2),1),RIGHT(LEFT('2024_Draft_team'!$A183,3),2))</f>
        <v>20</v>
      </c>
      <c r="J183" s="26" t="str">
        <f>IF(OR(AND(('2024_Draft_team'!$I183-4)&lt;=0,'2024_Draft_team'!$H183=TRUE),('2024_Draft_team'!$R183=TRUE)),"N/A",IF('2024_Draft_team'!$H183=TRUE,'2024_Draft_team'!$I183-4,'2024_Draft_team'!$I183-0))</f>
        <v>N/A</v>
      </c>
      <c r="K183" s="22" t="s">
        <v>425</v>
      </c>
      <c r="L183" s="22" t="s">
        <v>426</v>
      </c>
      <c r="M183" s="22" t="s">
        <v>567</v>
      </c>
      <c r="N183" s="22" t="s">
        <v>32</v>
      </c>
      <c r="O183" s="22" t="s">
        <v>90</v>
      </c>
      <c r="P183" s="22"/>
      <c r="Q183" s="22" t="str">
        <f>'2024_Draft_team'!$K183&amp;'2024_Draft_team'!$L183</f>
        <v>DeAndreHopkins</v>
      </c>
      <c r="R183" s="22" t="b">
        <f t="array" ref="R183">IFERROR((INDEX('2024_Transactions'!$J$2:$J$339,MATCH(1,('2024_Draft_team'!$Q183='2024_Transactions'!$C$2:$C$339)*('2024_Draft_team'!$B183='2024_Transactions'!$B$2:$B$339)*('2024_Transactions'!$J$2:$J$339="Dropped"),0))="Dropped"),FALSE)</f>
        <v>1</v>
      </c>
    </row>
    <row r="184" ht="14.25" customHeight="1">
      <c r="A184" s="22" t="s">
        <v>1517</v>
      </c>
      <c r="B184" s="22" t="s">
        <v>5</v>
      </c>
      <c r="C184" s="22" t="s">
        <v>1518</v>
      </c>
      <c r="D184" s="22" t="s">
        <v>1519</v>
      </c>
      <c r="E184" s="22" t="s">
        <v>1520</v>
      </c>
      <c r="F184" s="22">
        <v>164.0</v>
      </c>
      <c r="G184" s="22">
        <v>38.0</v>
      </c>
      <c r="H184" s="22" t="b">
        <f>(RIGHT('2024_Draft_team'!$C184,8)="(Keeper)")</f>
        <v>0</v>
      </c>
      <c r="I184" s="25" t="str">
        <f>IF(RIGHT(LEFT('2024_Draft_team'!$A184,3))="/",RIGHT(LEFT('2024_Draft_team'!$A184,2),1),RIGHT(LEFT('2024_Draft_team'!$A184,3),2))</f>
        <v>21</v>
      </c>
      <c r="J184" s="26">
        <f>IF(OR(AND(('2024_Draft_team'!$I184-4)&lt;=0,'2024_Draft_team'!$H184=TRUE),('2024_Draft_team'!$R184=TRUE)),"N/A",IF('2024_Draft_team'!$H184=TRUE,'2024_Draft_team'!$I184-4,'2024_Draft_team'!$I184-0))</f>
        <v>21</v>
      </c>
      <c r="K184" s="22" t="s">
        <v>755</v>
      </c>
      <c r="L184" s="22" t="s">
        <v>756</v>
      </c>
      <c r="M184" s="22" t="s">
        <v>563</v>
      </c>
      <c r="N184" s="22" t="s">
        <v>32</v>
      </c>
      <c r="O184" s="22" t="s">
        <v>63</v>
      </c>
      <c r="P184" s="22"/>
      <c r="Q184" s="22" t="str">
        <f>'2024_Draft_team'!$K184&amp;'2024_Draft_team'!$L184</f>
        <v>NateLandman</v>
      </c>
      <c r="R184" s="22" t="b">
        <f t="array" ref="R184">IFERROR((INDEX('2024_Transactions'!$J$2:$J$339,MATCH(1,('2024_Draft_team'!$Q184='2024_Transactions'!$C$2:$C$339)*('2024_Draft_team'!$B184='2024_Transactions'!$B$2:$B$339)*('2024_Transactions'!$J$2:$J$339="Dropped"),0))="Dropped"),FALSE)</f>
        <v>0</v>
      </c>
    </row>
    <row r="185" ht="14.25" customHeight="1">
      <c r="A185" s="22" t="s">
        <v>1521</v>
      </c>
      <c r="B185" s="22" t="s">
        <v>5</v>
      </c>
      <c r="C185" s="22" t="s">
        <v>1522</v>
      </c>
      <c r="D185" s="22" t="s">
        <v>897</v>
      </c>
      <c r="E185" s="22" t="s">
        <v>1523</v>
      </c>
      <c r="F185" s="22">
        <v>275.0</v>
      </c>
      <c r="G185" s="22">
        <v>263.0</v>
      </c>
      <c r="H185" s="22" t="b">
        <f>(RIGHT('2024_Draft_team'!$C185,8)="(Keeper)")</f>
        <v>1</v>
      </c>
      <c r="I185" s="25" t="str">
        <f>IF(RIGHT(LEFT('2024_Draft_team'!$A185,3))="/",RIGHT(LEFT('2024_Draft_team'!$A185,2),1),RIGHT(LEFT('2024_Draft_team'!$A185,3),2))</f>
        <v>22</v>
      </c>
      <c r="J185" s="26">
        <f>IF(OR(AND(('2024_Draft_team'!$I185-4)&lt;=0,'2024_Draft_team'!$H185=TRUE),('2024_Draft_team'!$R185=TRUE)),"N/A",IF('2024_Draft_team'!$H185=TRUE,'2024_Draft_team'!$I185-4,'2024_Draft_team'!$I185-0))</f>
        <v>18</v>
      </c>
      <c r="K185" s="22" t="s">
        <v>67</v>
      </c>
      <c r="L185" s="22" t="s">
        <v>68</v>
      </c>
      <c r="M185" s="22" t="s">
        <v>573</v>
      </c>
      <c r="N185" s="22" t="s">
        <v>32</v>
      </c>
      <c r="O185" s="22" t="s">
        <v>42</v>
      </c>
      <c r="P185" s="22" t="s">
        <v>890</v>
      </c>
      <c r="Q185" s="22" t="str">
        <f>'2024_Draft_team'!$K185&amp;'2024_Draft_team'!$L185</f>
        <v>GrantDelpit</v>
      </c>
      <c r="R185" s="22" t="b">
        <f t="array" ref="R185">IFERROR((INDEX('2024_Transactions'!$J$2:$J$339,MATCH(1,('2024_Draft_team'!$Q185='2024_Transactions'!$C$2:$C$339)*('2024_Draft_team'!$B185='2024_Transactions'!$B$2:$B$339)*('2024_Transactions'!$J$2:$J$339="Dropped"),0))="Dropped"),FALSE)</f>
        <v>0</v>
      </c>
    </row>
    <row r="186" ht="14.25" customHeight="1">
      <c r="A186" s="22" t="s">
        <v>1524</v>
      </c>
      <c r="B186" s="22" t="s">
        <v>5</v>
      </c>
      <c r="C186" s="22" t="s">
        <v>1525</v>
      </c>
      <c r="D186" s="22" t="s">
        <v>1526</v>
      </c>
      <c r="E186" s="22" t="s">
        <v>1527</v>
      </c>
      <c r="F186" s="22">
        <v>225.0</v>
      </c>
      <c r="G186" s="22">
        <v>0.0</v>
      </c>
      <c r="H186" s="22" t="b">
        <f>(RIGHT('2024_Draft_team'!$C186,8)="(Keeper)")</f>
        <v>0</v>
      </c>
      <c r="I186" s="25" t="str">
        <f>IF(RIGHT(LEFT('2024_Draft_team'!$A186,3))="/",RIGHT(LEFT('2024_Draft_team'!$A186,2),1),RIGHT(LEFT('2024_Draft_team'!$A186,3),2))</f>
        <v>23</v>
      </c>
      <c r="J186" s="26">
        <f>IF(OR(AND(('2024_Draft_team'!$I186-4)&lt;=0,'2024_Draft_team'!$H186=TRUE),('2024_Draft_team'!$R186=TRUE)),"N/A",IF('2024_Draft_team'!$H186=TRUE,'2024_Draft_team'!$I186-4,'2024_Draft_team'!$I186-0))</f>
        <v>23</v>
      </c>
      <c r="K186" s="22" t="s">
        <v>1528</v>
      </c>
      <c r="L186" s="22" t="s">
        <v>1529</v>
      </c>
      <c r="M186" s="22" t="s">
        <v>604</v>
      </c>
      <c r="N186" s="22" t="s">
        <v>32</v>
      </c>
      <c r="O186" s="22" t="s">
        <v>179</v>
      </c>
      <c r="P186" s="22"/>
      <c r="Q186" s="22" t="str">
        <f>'2024_Draft_team'!$K186&amp;'2024_Draft_team'!$L186</f>
        <v>NnamdiMadubuike</v>
      </c>
      <c r="R186" s="22" t="b">
        <f t="array" ref="R186">IFERROR((INDEX('2024_Transactions'!$J$2:$J$339,MATCH(1,('2024_Draft_team'!$Q186='2024_Transactions'!$C$2:$C$339)*('2024_Draft_team'!$B186='2024_Transactions'!$B$2:$B$339)*('2024_Transactions'!$J$2:$J$339="Dropped"),0))="Dropped"),FALSE)</f>
        <v>0</v>
      </c>
    </row>
    <row r="187" ht="14.25" customHeight="1">
      <c r="A187" s="22" t="s">
        <v>1530</v>
      </c>
      <c r="B187" s="22" t="s">
        <v>5</v>
      </c>
      <c r="C187" s="22" t="s">
        <v>1531</v>
      </c>
      <c r="D187" s="22" t="s">
        <v>1532</v>
      </c>
      <c r="E187" s="22" t="s">
        <v>1533</v>
      </c>
      <c r="F187" s="22">
        <v>81.0</v>
      </c>
      <c r="G187" s="22">
        <v>3.0</v>
      </c>
      <c r="H187" s="22" t="b">
        <f>(RIGHT('2024_Draft_team'!$C187,8)="(Keeper)")</f>
        <v>0</v>
      </c>
      <c r="I187" s="25" t="str">
        <f>IF(RIGHT(LEFT('2024_Draft_team'!$A187,3))="/",RIGHT(LEFT('2024_Draft_team'!$A187,2),1),RIGHT(LEFT('2024_Draft_team'!$A187,3),2))</f>
        <v>24</v>
      </c>
      <c r="J187" s="26">
        <f>IF(OR(AND(('2024_Draft_team'!$I187-4)&lt;=0,'2024_Draft_team'!$H187=TRUE),('2024_Draft_team'!$R187=TRUE)),"N/A",IF('2024_Draft_team'!$H187=TRUE,'2024_Draft_team'!$I187-4,'2024_Draft_team'!$I187-0))</f>
        <v>24</v>
      </c>
      <c r="K187" s="22" t="s">
        <v>117</v>
      </c>
      <c r="L187" s="22" t="s">
        <v>118</v>
      </c>
      <c r="M187" s="22" t="s">
        <v>573</v>
      </c>
      <c r="N187" s="22" t="s">
        <v>32</v>
      </c>
      <c r="O187" s="22" t="s">
        <v>119</v>
      </c>
      <c r="P187" s="22"/>
      <c r="Q187" s="22" t="str">
        <f>'2024_Draft_team'!$K187&amp;'2024_Draft_team'!$L187</f>
        <v>DaxtonHill</v>
      </c>
      <c r="R187" s="22" t="b">
        <f t="array" ref="R187">IFERROR((INDEX('2024_Transactions'!$J$2:$J$339,MATCH(1,('2024_Draft_team'!$Q187='2024_Transactions'!$C$2:$C$339)*('2024_Draft_team'!$B187='2024_Transactions'!$B$2:$B$339)*('2024_Transactions'!$J$2:$J$339="Dropped"),0))="Dropped"),FALSE)</f>
        <v>0</v>
      </c>
    </row>
    <row r="188" ht="14.25" customHeight="1">
      <c r="A188" s="22" t="s">
        <v>1534</v>
      </c>
      <c r="B188" s="22" t="s">
        <v>5</v>
      </c>
      <c r="C188" s="22" t="s">
        <v>1535</v>
      </c>
      <c r="D188" s="22" t="s">
        <v>1536</v>
      </c>
      <c r="E188" s="22" t="s">
        <v>1537</v>
      </c>
      <c r="F188" s="22">
        <v>227.0</v>
      </c>
      <c r="G188" s="22">
        <v>54.0</v>
      </c>
      <c r="H188" s="22" t="b">
        <f>(RIGHT('2024_Draft_team'!$C188,8)="(Keeper)")</f>
        <v>0</v>
      </c>
      <c r="I188" s="25" t="str">
        <f>IF(RIGHT(LEFT('2024_Draft_team'!$A188,3))="/",RIGHT(LEFT('2024_Draft_team'!$A188,2),1),RIGHT(LEFT('2024_Draft_team'!$A188,3),2))</f>
        <v>25</v>
      </c>
      <c r="J188" s="26" t="str">
        <f>IF(OR(AND(('2024_Draft_team'!$I188-4)&lt;=0,'2024_Draft_team'!$H188=TRUE),('2024_Draft_team'!$R188=TRUE)),"N/A",IF('2024_Draft_team'!$H188=TRUE,'2024_Draft_team'!$I188-4,'2024_Draft_team'!$I188-0))</f>
        <v>N/A</v>
      </c>
      <c r="K188" s="22" t="s">
        <v>319</v>
      </c>
      <c r="L188" s="22" t="s">
        <v>320</v>
      </c>
      <c r="M188" s="22" t="s">
        <v>567</v>
      </c>
      <c r="N188" s="22" t="s">
        <v>32</v>
      </c>
      <c r="O188" s="22" t="s">
        <v>45</v>
      </c>
      <c r="P188" s="22"/>
      <c r="Q188" s="22" t="str">
        <f>'2024_Draft_team'!$K188&amp;'2024_Draft_team'!$L188</f>
        <v>RomeoDoubs</v>
      </c>
      <c r="R188" s="22" t="b">
        <f t="array" ref="R188">IFERROR((INDEX('2024_Transactions'!$J$2:$J$339,MATCH(1,('2024_Draft_team'!$Q188='2024_Transactions'!$C$2:$C$339)*('2024_Draft_team'!$B188='2024_Transactions'!$B$2:$B$339)*('2024_Transactions'!$J$2:$J$339="Dropped"),0))="Dropped"),FALSE)</f>
        <v>1</v>
      </c>
    </row>
    <row r="189" ht="14.25" customHeight="1">
      <c r="A189" s="22" t="s">
        <v>1538</v>
      </c>
      <c r="B189" s="22" t="s">
        <v>5</v>
      </c>
      <c r="C189" s="22" t="s">
        <v>1539</v>
      </c>
      <c r="D189" s="22" t="s">
        <v>1540</v>
      </c>
      <c r="E189" s="22" t="s">
        <v>1541</v>
      </c>
      <c r="F189" s="22">
        <v>358.0</v>
      </c>
      <c r="G189" s="22">
        <v>28.0</v>
      </c>
      <c r="H189" s="22" t="b">
        <f>(RIGHT('2024_Draft_team'!$C189,8)="(Keeper)")</f>
        <v>0</v>
      </c>
      <c r="I189" s="25" t="str">
        <f>IF(RIGHT(LEFT('2024_Draft_team'!$A189,3))="/",RIGHT(LEFT('2024_Draft_team'!$A189,2),1),RIGHT(LEFT('2024_Draft_team'!$A189,3),2))</f>
        <v>26</v>
      </c>
      <c r="J189" s="26">
        <f>IF(OR(AND(('2024_Draft_team'!$I189-4)&lt;=0,'2024_Draft_team'!$H189=TRUE),('2024_Draft_team'!$R189=TRUE)),"N/A",IF('2024_Draft_team'!$H189=TRUE,'2024_Draft_team'!$I189-4,'2024_Draft_team'!$I189-0))</f>
        <v>26</v>
      </c>
      <c r="K189" s="22" t="s">
        <v>258</v>
      </c>
      <c r="L189" s="22" t="s">
        <v>169</v>
      </c>
      <c r="M189" s="22" t="s">
        <v>55</v>
      </c>
      <c r="N189" s="22" t="s">
        <v>32</v>
      </c>
      <c r="O189" s="22" t="s">
        <v>124</v>
      </c>
      <c r="P189" s="22"/>
      <c r="Q189" s="22" t="str">
        <f>'2024_Draft_team'!$K189&amp;'2024_Draft_team'!$L189</f>
        <v>JakeElliott</v>
      </c>
      <c r="R189" s="22" t="b">
        <f t="array" ref="R189">IFERROR((INDEX('2024_Transactions'!$J$2:$J$339,MATCH(1,('2024_Draft_team'!$Q189='2024_Transactions'!$C$2:$C$339)*('2024_Draft_team'!$B189='2024_Transactions'!$B$2:$B$339)*('2024_Transactions'!$J$2:$J$339="Dropped"),0))="Dropped"),FALSE)</f>
        <v>0</v>
      </c>
    </row>
    <row r="190" ht="14.25" customHeight="1">
      <c r="A190" s="22" t="s">
        <v>1542</v>
      </c>
      <c r="B190" s="22" t="s">
        <v>5</v>
      </c>
      <c r="C190" s="22" t="s">
        <v>1543</v>
      </c>
      <c r="D190" s="22" t="s">
        <v>1544</v>
      </c>
      <c r="E190" s="22" t="s">
        <v>1545</v>
      </c>
      <c r="F190" s="22">
        <v>209.0</v>
      </c>
      <c r="G190" s="22">
        <v>0.0</v>
      </c>
      <c r="H190" s="22" t="b">
        <f>(RIGHT('2024_Draft_team'!$C190,8)="(Keeper)")</f>
        <v>0</v>
      </c>
      <c r="I190" s="25" t="str">
        <f>IF(RIGHT(LEFT('2024_Draft_team'!$A190,3))="/",RIGHT(LEFT('2024_Draft_team'!$A190,2),1),RIGHT(LEFT('2024_Draft_team'!$A190,3),2))</f>
        <v>27</v>
      </c>
      <c r="J190" s="26" t="str">
        <f>IF(OR(AND(('2024_Draft_team'!$I190-4)&lt;=0,'2024_Draft_team'!$H190=TRUE),('2024_Draft_team'!$R190=TRUE)),"N/A",IF('2024_Draft_team'!$H190=TRUE,'2024_Draft_team'!$I190-4,'2024_Draft_team'!$I190-0))</f>
        <v>N/A</v>
      </c>
      <c r="K190" s="22" t="s">
        <v>771</v>
      </c>
      <c r="L190" s="22" t="s">
        <v>772</v>
      </c>
      <c r="M190" s="22" t="s">
        <v>567</v>
      </c>
      <c r="N190" s="22" t="s">
        <v>32</v>
      </c>
      <c r="O190" s="22" t="s">
        <v>119</v>
      </c>
      <c r="P190" s="22"/>
      <c r="Q190" s="22" t="str">
        <f>'2024_Draft_team'!$K190&amp;'2024_Draft_team'!$L190</f>
        <v>AndreiIosivas</v>
      </c>
      <c r="R190" s="22" t="b">
        <f t="array" ref="R190">IFERROR((INDEX('2024_Transactions'!$J$2:$J$339,MATCH(1,('2024_Draft_team'!$Q190='2024_Transactions'!$C$2:$C$339)*('2024_Draft_team'!$B190='2024_Transactions'!$B$2:$B$339)*('2024_Transactions'!$J$2:$J$339="Dropped"),0))="Dropped"),FALSE)</f>
        <v>1</v>
      </c>
    </row>
    <row r="191" ht="14.25" customHeight="1">
      <c r="A191" s="22" t="s">
        <v>1546</v>
      </c>
      <c r="B191" s="22" t="s">
        <v>6</v>
      </c>
      <c r="C191" s="22" t="s">
        <v>1547</v>
      </c>
      <c r="D191" s="22" t="s">
        <v>897</v>
      </c>
      <c r="E191" s="22" t="s">
        <v>1548</v>
      </c>
      <c r="F191" s="22">
        <v>870.0</v>
      </c>
      <c r="G191" s="22">
        <v>795.0</v>
      </c>
      <c r="H191" s="22" t="b">
        <f>(RIGHT('2024_Draft_team'!$C191,8)="(Keeper)")</f>
        <v>1</v>
      </c>
      <c r="I191" s="25" t="str">
        <f>IF(RIGHT(LEFT('2024_Draft_team'!$A191,3))="/",RIGHT(LEFT('2024_Draft_team'!$A191,2),1),RIGHT(LEFT('2024_Draft_team'!$A191,3),2))</f>
        <v>1</v>
      </c>
      <c r="J191" s="26" t="str">
        <f>IF(OR(AND(('2024_Draft_team'!$I191-4)&lt;=0,'2024_Draft_team'!$H191=TRUE),('2024_Draft_team'!$R191=TRUE)),"N/A",IF('2024_Draft_team'!$H191=TRUE,'2024_Draft_team'!$I191-4,'2024_Draft_team'!$I191-0))</f>
        <v>N/A</v>
      </c>
      <c r="K191" s="22" t="s">
        <v>219</v>
      </c>
      <c r="L191" s="22" t="s">
        <v>517</v>
      </c>
      <c r="M191" s="22" t="s">
        <v>29</v>
      </c>
      <c r="N191" s="22" t="s">
        <v>32</v>
      </c>
      <c r="O191" s="22" t="s">
        <v>119</v>
      </c>
      <c r="P191" s="22" t="s">
        <v>890</v>
      </c>
      <c r="Q191" s="22" t="str">
        <f>'2024_Draft_team'!$K191&amp;'2024_Draft_team'!$L191</f>
        <v>JoeBurrow</v>
      </c>
      <c r="R191" s="22" t="b">
        <f t="array" ref="R191">IFERROR((INDEX('2024_Transactions'!$J$2:$J$339,MATCH(1,('2024_Draft_team'!$Q191='2024_Transactions'!$C$2:$C$339)*('2024_Draft_team'!$B191='2024_Transactions'!$B$2:$B$339)*('2024_Transactions'!$J$2:$J$339="Dropped"),0))="Dropped"),FALSE)</f>
        <v>0</v>
      </c>
    </row>
    <row r="192" ht="14.25" customHeight="1">
      <c r="A192" s="22" t="s">
        <v>1549</v>
      </c>
      <c r="B192" s="22" t="s">
        <v>6</v>
      </c>
      <c r="C192" s="22" t="s">
        <v>1550</v>
      </c>
      <c r="D192" s="22" t="s">
        <v>897</v>
      </c>
      <c r="E192" s="22" t="s">
        <v>1551</v>
      </c>
      <c r="F192" s="22">
        <v>335.0</v>
      </c>
      <c r="G192" s="22">
        <v>166.0</v>
      </c>
      <c r="H192" s="22" t="b">
        <f>(RIGHT('2024_Draft_team'!$C192,8)="(Keeper)")</f>
        <v>1</v>
      </c>
      <c r="I192" s="25" t="str">
        <f>IF(RIGHT(LEFT('2024_Draft_team'!$A192,3))="/",RIGHT(LEFT('2024_Draft_team'!$A192,2),1),RIGHT(LEFT('2024_Draft_team'!$A192,3),2))</f>
        <v>2</v>
      </c>
      <c r="J192" s="26" t="str">
        <f>IF(OR(AND(('2024_Draft_team'!$I192-4)&lt;=0,'2024_Draft_team'!$H192=TRUE),('2024_Draft_team'!$R192=TRUE)),"N/A",IF('2024_Draft_team'!$H192=TRUE,'2024_Draft_team'!$I192-4,'2024_Draft_team'!$I192-0))</f>
        <v>N/A</v>
      </c>
      <c r="K192" s="22" t="s">
        <v>370</v>
      </c>
      <c r="L192" s="22" t="s">
        <v>493</v>
      </c>
      <c r="M192" s="22" t="s">
        <v>29</v>
      </c>
      <c r="N192" s="22" t="s">
        <v>32</v>
      </c>
      <c r="O192" s="22" t="s">
        <v>105</v>
      </c>
      <c r="P192" s="22" t="s">
        <v>890</v>
      </c>
      <c r="Q192" s="22" t="str">
        <f>'2024_Draft_team'!$K192&amp;'2024_Draft_team'!$L192</f>
        <v>AnthonyRichardson</v>
      </c>
      <c r="R192" s="22" t="b">
        <f t="array" ref="R192">IFERROR((INDEX('2024_Transactions'!$J$2:$J$339,MATCH(1,('2024_Draft_team'!$Q192='2024_Transactions'!$C$2:$C$339)*('2024_Draft_team'!$B192='2024_Transactions'!$B$2:$B$339)*('2024_Transactions'!$J$2:$J$339="Dropped"),0))="Dropped"),FALSE)</f>
        <v>0</v>
      </c>
    </row>
    <row r="193" ht="14.25" customHeight="1">
      <c r="A193" s="22" t="s">
        <v>1552</v>
      </c>
      <c r="B193" s="22" t="s">
        <v>6</v>
      </c>
      <c r="C193" s="22" t="s">
        <v>1553</v>
      </c>
      <c r="D193" s="22" t="s">
        <v>897</v>
      </c>
      <c r="E193" s="22" t="s">
        <v>1554</v>
      </c>
      <c r="F193" s="22">
        <v>318.0</v>
      </c>
      <c r="G193" s="22">
        <v>149.0</v>
      </c>
      <c r="H193" s="22" t="b">
        <f>(RIGHT('2024_Draft_team'!$C193,8)="(Keeper)")</f>
        <v>1</v>
      </c>
      <c r="I193" s="25" t="str">
        <f>IF(RIGHT(LEFT('2024_Draft_team'!$A193,3))="/",RIGHT(LEFT('2024_Draft_team'!$A193,2),1),RIGHT(LEFT('2024_Draft_team'!$A193,3),2))</f>
        <v>3</v>
      </c>
      <c r="J193" s="26" t="str">
        <f>IF(OR(AND(('2024_Draft_team'!$I193-4)&lt;=0,'2024_Draft_team'!$H193=TRUE),('2024_Draft_team'!$R193=TRUE)),"N/A",IF('2024_Draft_team'!$H193=TRUE,'2024_Draft_team'!$I193-4,'2024_Draft_team'!$I193-0))</f>
        <v>N/A</v>
      </c>
      <c r="K193" s="22" t="s">
        <v>531</v>
      </c>
      <c r="L193" s="22" t="s">
        <v>326</v>
      </c>
      <c r="M193" s="22" t="s">
        <v>604</v>
      </c>
      <c r="N193" s="22" t="s">
        <v>32</v>
      </c>
      <c r="O193" s="22" t="s">
        <v>42</v>
      </c>
      <c r="P193" s="22" t="s">
        <v>890</v>
      </c>
      <c r="Q193" s="22" t="str">
        <f>'2024_Draft_team'!$K193&amp;'2024_Draft_team'!$L193</f>
        <v>MylesGarrett</v>
      </c>
      <c r="R193" s="22" t="b">
        <f t="array" ref="R193">IFERROR((INDEX('2024_Transactions'!$J$2:$J$339,MATCH(1,('2024_Draft_team'!$Q193='2024_Transactions'!$C$2:$C$339)*('2024_Draft_team'!$B193='2024_Transactions'!$B$2:$B$339)*('2024_Transactions'!$J$2:$J$339="Dropped"),0))="Dropped"),FALSE)</f>
        <v>0</v>
      </c>
    </row>
    <row r="194" ht="14.25" customHeight="1">
      <c r="A194" s="22" t="s">
        <v>1555</v>
      </c>
      <c r="B194" s="22" t="s">
        <v>6</v>
      </c>
      <c r="C194" s="22" t="s">
        <v>1556</v>
      </c>
      <c r="D194" s="22" t="s">
        <v>897</v>
      </c>
      <c r="E194" s="22" t="s">
        <v>1557</v>
      </c>
      <c r="F194" s="22">
        <v>393.0</v>
      </c>
      <c r="G194" s="22">
        <v>313.0</v>
      </c>
      <c r="H194" s="22" t="b">
        <f>(RIGHT('2024_Draft_team'!$C194,8)="(Keeper)")</f>
        <v>1</v>
      </c>
      <c r="I194" s="25" t="str">
        <f>IF(RIGHT(LEFT('2024_Draft_team'!$A194,3))="/",RIGHT(LEFT('2024_Draft_team'!$A194,2),1),RIGHT(LEFT('2024_Draft_team'!$A194,3),2))</f>
        <v>4</v>
      </c>
      <c r="J194" s="26" t="str">
        <f>IF(OR(AND(('2024_Draft_team'!$I194-4)&lt;=0,'2024_Draft_team'!$H194=TRUE),('2024_Draft_team'!$R194=TRUE)),"N/A",IF('2024_Draft_team'!$H194=TRUE,'2024_Draft_team'!$I194-4,'2024_Draft_team'!$I194-0))</f>
        <v>N/A</v>
      </c>
      <c r="K194" s="22" t="s">
        <v>243</v>
      </c>
      <c r="L194" s="22" t="s">
        <v>534</v>
      </c>
      <c r="M194" s="22" t="s">
        <v>563</v>
      </c>
      <c r="N194" s="22" t="s">
        <v>32</v>
      </c>
      <c r="O194" s="22" t="s">
        <v>98</v>
      </c>
      <c r="P194" s="22" t="s">
        <v>890</v>
      </c>
      <c r="Q194" s="22" t="str">
        <f>'2024_Draft_team'!$K194&amp;'2024_Draft_team'!$L194</f>
        <v>BobbyWagner</v>
      </c>
      <c r="R194" s="22" t="b">
        <f t="array" ref="R194">IFERROR((INDEX('2024_Transactions'!$J$2:$J$339,MATCH(1,('2024_Draft_team'!$Q194='2024_Transactions'!$C$2:$C$339)*('2024_Draft_team'!$B194='2024_Transactions'!$B$2:$B$339)*('2024_Transactions'!$J$2:$J$339="Dropped"),0))="Dropped"),FALSE)</f>
        <v>0</v>
      </c>
    </row>
    <row r="195" ht="14.25" customHeight="1">
      <c r="A195" s="22" t="s">
        <v>1558</v>
      </c>
      <c r="B195" s="22" t="s">
        <v>6</v>
      </c>
      <c r="C195" s="22" t="s">
        <v>1559</v>
      </c>
      <c r="D195" s="22" t="s">
        <v>897</v>
      </c>
      <c r="E195" s="22" t="s">
        <v>1560</v>
      </c>
      <c r="F195" s="22">
        <v>271.0</v>
      </c>
      <c r="G195" s="22">
        <v>188.0</v>
      </c>
      <c r="H195" s="22" t="b">
        <f>(RIGHT('2024_Draft_team'!$C195,8)="(Keeper)")</f>
        <v>1</v>
      </c>
      <c r="I195" s="25" t="str">
        <f>IF(RIGHT(LEFT('2024_Draft_team'!$A195,3))="/",RIGHT(LEFT('2024_Draft_team'!$A195,2),1),RIGHT(LEFT('2024_Draft_team'!$A195,3),2))</f>
        <v>5</v>
      </c>
      <c r="J195" s="26">
        <f>IF(OR(AND(('2024_Draft_team'!$I195-4)&lt;=0,'2024_Draft_team'!$H195=TRUE),('2024_Draft_team'!$R195=TRUE)),"N/A",IF('2024_Draft_team'!$H195=TRUE,'2024_Draft_team'!$I195-4,'2024_Draft_team'!$I195-0))</f>
        <v>1</v>
      </c>
      <c r="K195" s="22" t="s">
        <v>520</v>
      </c>
      <c r="L195" s="22" t="s">
        <v>521</v>
      </c>
      <c r="M195" s="22" t="s">
        <v>39</v>
      </c>
      <c r="N195" s="22" t="s">
        <v>32</v>
      </c>
      <c r="O195" s="22" t="s">
        <v>444</v>
      </c>
      <c r="P195" s="22" t="s">
        <v>890</v>
      </c>
      <c r="Q195" s="22" t="str">
        <f>'2024_Draft_team'!$K195&amp;'2024_Draft_team'!$L195</f>
        <v>RhamondreStevenson</v>
      </c>
      <c r="R195" s="22" t="b">
        <f t="array" ref="R195">IFERROR((INDEX('2024_Transactions'!$J$2:$J$339,MATCH(1,('2024_Draft_team'!$Q195='2024_Transactions'!$C$2:$C$339)*('2024_Draft_team'!$B195='2024_Transactions'!$B$2:$B$339)*('2024_Transactions'!$J$2:$J$339="Dropped"),0))="Dropped"),FALSE)</f>
        <v>0</v>
      </c>
    </row>
    <row r="196" ht="14.25" customHeight="1">
      <c r="A196" s="22" t="s">
        <v>1561</v>
      </c>
      <c r="B196" s="22" t="s">
        <v>6</v>
      </c>
      <c r="C196" s="22" t="s">
        <v>1562</v>
      </c>
      <c r="D196" s="22" t="s">
        <v>897</v>
      </c>
      <c r="E196" s="22" t="s">
        <v>1563</v>
      </c>
      <c r="F196" s="22">
        <v>319.0</v>
      </c>
      <c r="G196" s="22">
        <v>182.0</v>
      </c>
      <c r="H196" s="22" t="b">
        <f>(RIGHT('2024_Draft_team'!$C196,8)="(Keeper)")</f>
        <v>1</v>
      </c>
      <c r="I196" s="25" t="str">
        <f>IF(RIGHT(LEFT('2024_Draft_team'!$A196,3))="/",RIGHT(LEFT('2024_Draft_team'!$A196,2),1),RIGHT(LEFT('2024_Draft_team'!$A196,3),2))</f>
        <v>6</v>
      </c>
      <c r="J196" s="26">
        <f>IF(OR(AND(('2024_Draft_team'!$I196-4)&lt;=0,'2024_Draft_team'!$H196=TRUE),('2024_Draft_team'!$R196=TRUE)),"N/A",IF('2024_Draft_team'!$H196=TRUE,'2024_Draft_team'!$I196-4,'2024_Draft_team'!$I196-0))</f>
        <v>2</v>
      </c>
      <c r="K196" s="22" t="s">
        <v>160</v>
      </c>
      <c r="L196" s="22" t="s">
        <v>533</v>
      </c>
      <c r="M196" s="22" t="s">
        <v>563</v>
      </c>
      <c r="N196" s="22" t="s">
        <v>32</v>
      </c>
      <c r="O196" s="22" t="s">
        <v>170</v>
      </c>
      <c r="P196" s="22" t="s">
        <v>890</v>
      </c>
      <c r="Q196" s="22" t="str">
        <f>'2024_Draft_team'!$K196&amp;'2024_Draft_team'!$L196</f>
        <v>PatrickQueen</v>
      </c>
      <c r="R196" s="22" t="b">
        <f t="array" ref="R196">IFERROR((INDEX('2024_Transactions'!$J$2:$J$339,MATCH(1,('2024_Draft_team'!$Q196='2024_Transactions'!$C$2:$C$339)*('2024_Draft_team'!$B196='2024_Transactions'!$B$2:$B$339)*('2024_Transactions'!$J$2:$J$339="Dropped"),0))="Dropped"),FALSE)</f>
        <v>0</v>
      </c>
    </row>
    <row r="197" ht="14.25" customHeight="1">
      <c r="A197" s="22" t="s">
        <v>1564</v>
      </c>
      <c r="B197" s="22" t="s">
        <v>6</v>
      </c>
      <c r="C197" s="22" t="s">
        <v>1565</v>
      </c>
      <c r="D197" s="22" t="s">
        <v>897</v>
      </c>
      <c r="E197" s="22" t="s">
        <v>1566</v>
      </c>
      <c r="F197" s="22">
        <v>383.0</v>
      </c>
      <c r="G197" s="22">
        <v>350.0</v>
      </c>
      <c r="H197" s="22" t="b">
        <f>(RIGHT('2024_Draft_team'!$C197,8)="(Keeper)")</f>
        <v>1</v>
      </c>
      <c r="I197" s="25" t="str">
        <f>IF(RIGHT(LEFT('2024_Draft_team'!$A197,3))="/",RIGHT(LEFT('2024_Draft_team'!$A197,2),1),RIGHT(LEFT('2024_Draft_team'!$A197,3),2))</f>
        <v>7</v>
      </c>
      <c r="J197" s="26">
        <f>IF(OR(AND(('2024_Draft_team'!$I197-4)&lt;=0,'2024_Draft_team'!$H197=TRUE),('2024_Draft_team'!$R197=TRUE)),"N/A",IF('2024_Draft_team'!$H197=TRUE,'2024_Draft_team'!$I197-4,'2024_Draft_team'!$I197-0))</f>
        <v>3</v>
      </c>
      <c r="K197" s="22" t="s">
        <v>523</v>
      </c>
      <c r="L197" s="22" t="s">
        <v>524</v>
      </c>
      <c r="M197" s="22" t="s">
        <v>567</v>
      </c>
      <c r="N197" s="22" t="s">
        <v>32</v>
      </c>
      <c r="O197" s="22" t="s">
        <v>66</v>
      </c>
      <c r="P197" s="22" t="s">
        <v>890</v>
      </c>
      <c r="Q197" s="22" t="str">
        <f>'2024_Draft_team'!$K197&amp;'2024_Draft_team'!$L197</f>
        <v>DJMoore</v>
      </c>
      <c r="R197" s="22" t="b">
        <f t="array" ref="R197">IFERROR((INDEX('2024_Transactions'!$J$2:$J$339,MATCH(1,('2024_Draft_team'!$Q197='2024_Transactions'!$C$2:$C$339)*('2024_Draft_team'!$B197='2024_Transactions'!$B$2:$B$339)*('2024_Transactions'!$J$2:$J$339="Dropped"),0))="Dropped"),FALSE)</f>
        <v>0</v>
      </c>
    </row>
    <row r="198" ht="14.25" customHeight="1">
      <c r="A198" s="22" t="s">
        <v>1567</v>
      </c>
      <c r="B198" s="22" t="s">
        <v>6</v>
      </c>
      <c r="C198" s="22" t="s">
        <v>1568</v>
      </c>
      <c r="D198" s="22" t="s">
        <v>923</v>
      </c>
      <c r="E198" s="22" t="s">
        <v>1569</v>
      </c>
      <c r="F198" s="22">
        <v>182.0</v>
      </c>
      <c r="G198" s="22">
        <v>27.0</v>
      </c>
      <c r="H198" s="22" t="b">
        <f>(RIGHT('2024_Draft_team'!$C198,8)="(Keeper)")</f>
        <v>1</v>
      </c>
      <c r="I198" s="25" t="str">
        <f>IF(RIGHT(LEFT('2024_Draft_team'!$A198,3))="/",RIGHT(LEFT('2024_Draft_team'!$A198,2),1),RIGHT(LEFT('2024_Draft_team'!$A198,3),2))</f>
        <v>8</v>
      </c>
      <c r="J198" s="26">
        <f>IF(OR(AND(('2024_Draft_team'!$I198-4)&lt;=0,'2024_Draft_team'!$H198=TRUE),('2024_Draft_team'!$R198=TRUE)),"N/A",IF('2024_Draft_team'!$H198=TRUE,'2024_Draft_team'!$I198-4,'2024_Draft_team'!$I198-0))</f>
        <v>4</v>
      </c>
      <c r="K198" s="22" t="s">
        <v>254</v>
      </c>
      <c r="L198" s="22" t="s">
        <v>538</v>
      </c>
      <c r="M198" s="22" t="s">
        <v>39</v>
      </c>
      <c r="N198" s="22" t="s">
        <v>32</v>
      </c>
      <c r="O198" s="22" t="s">
        <v>148</v>
      </c>
      <c r="P198" s="22" t="s">
        <v>890</v>
      </c>
      <c r="Q198" s="22" t="str">
        <f>'2024_Draft_team'!$K198&amp;'2024_Draft_team'!$L198</f>
        <v>TravisEtienne</v>
      </c>
      <c r="R198" s="22" t="b">
        <f t="array" ref="R198">IFERROR((INDEX('2024_Transactions'!$J$2:$J$339,MATCH(1,('2024_Draft_team'!$Q198='2024_Transactions'!$C$2:$C$339)*('2024_Draft_team'!$B198='2024_Transactions'!$B$2:$B$339)*('2024_Transactions'!$J$2:$J$339="Dropped"),0))="Dropped"),FALSE)</f>
        <v>0</v>
      </c>
    </row>
    <row r="199" ht="14.25" customHeight="1">
      <c r="A199" s="22" t="s">
        <v>1570</v>
      </c>
      <c r="B199" s="22" t="s">
        <v>6</v>
      </c>
      <c r="C199" s="22" t="s">
        <v>1571</v>
      </c>
      <c r="D199" s="22" t="s">
        <v>897</v>
      </c>
      <c r="E199" s="22" t="s">
        <v>1572</v>
      </c>
      <c r="F199" s="22">
        <v>122.0</v>
      </c>
      <c r="G199" s="22">
        <v>14.0</v>
      </c>
      <c r="H199" s="22" t="b">
        <f>(RIGHT('2024_Draft_team'!$C199,8)="(Keeper)")</f>
        <v>1</v>
      </c>
      <c r="I199" s="25" t="str">
        <f>IF(RIGHT(LEFT('2024_Draft_team'!$A199,3))="/",RIGHT(LEFT('2024_Draft_team'!$A199,2),1),RIGHT(LEFT('2024_Draft_team'!$A199,3),2))</f>
        <v>9</v>
      </c>
      <c r="J199" s="26" t="str">
        <f>IF(OR(AND(('2024_Draft_team'!$I199-4)&lt;=0,'2024_Draft_team'!$H199=TRUE),('2024_Draft_team'!$R199=TRUE)),"N/A",IF('2024_Draft_team'!$H199=TRUE,'2024_Draft_team'!$I199-4,'2024_Draft_team'!$I199-0))</f>
        <v>N/A</v>
      </c>
      <c r="K199" s="22" t="s">
        <v>761</v>
      </c>
      <c r="L199" s="22" t="s">
        <v>762</v>
      </c>
      <c r="M199" s="22" t="s">
        <v>573</v>
      </c>
      <c r="N199" s="22" t="s">
        <v>32</v>
      </c>
      <c r="O199" s="22" t="s">
        <v>66</v>
      </c>
      <c r="P199" s="22" t="s">
        <v>890</v>
      </c>
      <c r="Q199" s="22" t="str">
        <f>'2024_Draft_team'!$K199&amp;'2024_Draft_team'!$L199</f>
        <v>JaquanBrisker</v>
      </c>
      <c r="R199" s="22" t="b">
        <f t="array" ref="R199">IFERROR((INDEX('2024_Transactions'!$J$2:$J$339,MATCH(1,('2024_Draft_team'!$Q199='2024_Transactions'!$C$2:$C$339)*('2024_Draft_team'!$B199='2024_Transactions'!$B$2:$B$339)*('2024_Transactions'!$J$2:$J$339="Dropped"),0))="Dropped"),FALSE)</f>
        <v>1</v>
      </c>
    </row>
    <row r="200" ht="14.25" customHeight="1">
      <c r="A200" s="22" t="s">
        <v>1573</v>
      </c>
      <c r="B200" s="22" t="s">
        <v>6</v>
      </c>
      <c r="C200" s="22" t="s">
        <v>1574</v>
      </c>
      <c r="D200" s="22" t="s">
        <v>897</v>
      </c>
      <c r="E200" s="22" t="s">
        <v>1575</v>
      </c>
      <c r="F200" s="22">
        <v>436.0</v>
      </c>
      <c r="G200" s="22">
        <v>335.0</v>
      </c>
      <c r="H200" s="22" t="b">
        <f>(RIGHT('2024_Draft_team'!$C200,8)="(Keeper)")</f>
        <v>1</v>
      </c>
      <c r="I200" s="25" t="str">
        <f>IF(RIGHT(LEFT('2024_Draft_team'!$A200,3))="/",RIGHT(LEFT('2024_Draft_team'!$A200,2),1),RIGHT(LEFT('2024_Draft_team'!$A200,3),2))</f>
        <v>10</v>
      </c>
      <c r="J200" s="26">
        <f>IF(OR(AND(('2024_Draft_team'!$I200-4)&lt;=0,'2024_Draft_team'!$H200=TRUE),('2024_Draft_team'!$R200=TRUE)),"N/A",IF('2024_Draft_team'!$H200=TRUE,'2024_Draft_team'!$I200-4,'2024_Draft_team'!$I200-0))</f>
        <v>6</v>
      </c>
      <c r="K200" s="22" t="s">
        <v>442</v>
      </c>
      <c r="L200" s="22" t="s">
        <v>522</v>
      </c>
      <c r="M200" s="22" t="s">
        <v>567</v>
      </c>
      <c r="N200" s="22" t="s">
        <v>32</v>
      </c>
      <c r="O200" s="22" t="s">
        <v>63</v>
      </c>
      <c r="P200" s="22" t="s">
        <v>890</v>
      </c>
      <c r="Q200" s="22" t="str">
        <f>'2024_Draft_team'!$K200&amp;'2024_Draft_team'!$L200</f>
        <v>DrakeLondon</v>
      </c>
      <c r="R200" s="22" t="b">
        <f t="array" ref="R200">IFERROR((INDEX('2024_Transactions'!$J$2:$J$339,MATCH(1,('2024_Draft_team'!$Q200='2024_Transactions'!$C$2:$C$339)*('2024_Draft_team'!$B200='2024_Transactions'!$B$2:$B$339)*('2024_Transactions'!$J$2:$J$339="Dropped"),0))="Dropped"),FALSE)</f>
        <v>0</v>
      </c>
    </row>
    <row r="201" ht="14.25" customHeight="1">
      <c r="A201" s="22" t="s">
        <v>1576</v>
      </c>
      <c r="B201" s="22" t="s">
        <v>6</v>
      </c>
      <c r="C201" s="22" t="s">
        <v>1577</v>
      </c>
      <c r="D201" s="22" t="s">
        <v>897</v>
      </c>
      <c r="E201" s="22" t="s">
        <v>1578</v>
      </c>
      <c r="F201" s="22">
        <v>296.0</v>
      </c>
      <c r="G201" s="22">
        <v>215.0</v>
      </c>
      <c r="H201" s="22" t="b">
        <f>(RIGHT('2024_Draft_team'!$C201,8)="(Keeper)")</f>
        <v>1</v>
      </c>
      <c r="I201" s="25" t="str">
        <f>IF(RIGHT(LEFT('2024_Draft_team'!$A201,3))="/",RIGHT(LEFT('2024_Draft_team'!$A201,2),1),RIGHT(LEFT('2024_Draft_team'!$A201,3),2))</f>
        <v>11</v>
      </c>
      <c r="J201" s="26">
        <f>IF(OR(AND(('2024_Draft_team'!$I201-4)&lt;=0,'2024_Draft_team'!$H201=TRUE),('2024_Draft_team'!$R201=TRUE)),"N/A",IF('2024_Draft_team'!$H201=TRUE,'2024_Draft_team'!$I201-4,'2024_Draft_team'!$I201-0))</f>
        <v>7</v>
      </c>
      <c r="K201" s="22" t="s">
        <v>382</v>
      </c>
      <c r="L201" s="22" t="s">
        <v>539</v>
      </c>
      <c r="M201" s="22" t="s">
        <v>567</v>
      </c>
      <c r="N201" s="22" t="s">
        <v>32</v>
      </c>
      <c r="O201" s="22" t="s">
        <v>170</v>
      </c>
      <c r="P201" s="22" t="s">
        <v>890</v>
      </c>
      <c r="Q201" s="22" t="str">
        <f>'2024_Draft_team'!$K201&amp;'2024_Draft_team'!$L201</f>
        <v>GeorgePickens</v>
      </c>
      <c r="R201" s="22" t="b">
        <f t="array" ref="R201">IFERROR((INDEX('2024_Transactions'!$J$2:$J$339,MATCH(1,('2024_Draft_team'!$Q201='2024_Transactions'!$C$2:$C$339)*('2024_Draft_team'!$B201='2024_Transactions'!$B$2:$B$339)*('2024_Transactions'!$J$2:$J$339="Dropped"),0))="Dropped"),FALSE)</f>
        <v>0</v>
      </c>
    </row>
    <row r="202" ht="14.25" customHeight="1">
      <c r="A202" s="22" t="s">
        <v>1579</v>
      </c>
      <c r="B202" s="22" t="s">
        <v>6</v>
      </c>
      <c r="C202" s="22" t="s">
        <v>1580</v>
      </c>
      <c r="D202" s="22" t="s">
        <v>1581</v>
      </c>
      <c r="E202" s="22" t="s">
        <v>1582</v>
      </c>
      <c r="F202" s="22">
        <v>335.0</v>
      </c>
      <c r="G202" s="22">
        <v>126.0</v>
      </c>
      <c r="H202" s="22" t="b">
        <f>(RIGHT('2024_Draft_team'!$C202,8)="(Keeper)")</f>
        <v>0</v>
      </c>
      <c r="I202" s="25" t="str">
        <f>IF(RIGHT(LEFT('2024_Draft_team'!$A202,3))="/",RIGHT(LEFT('2024_Draft_team'!$A202,2),1),RIGHT(LEFT('2024_Draft_team'!$A202,3),2))</f>
        <v>12</v>
      </c>
      <c r="J202" s="26">
        <f>IF(OR(AND(('2024_Draft_team'!$I202-4)&lt;=0,'2024_Draft_team'!$H202=TRUE),('2024_Draft_team'!$R202=TRUE)),"N/A",IF('2024_Draft_team'!$H202=TRUE,'2024_Draft_team'!$I202-4,'2024_Draft_team'!$I202-0))</f>
        <v>12</v>
      </c>
      <c r="K202" s="22" t="s">
        <v>184</v>
      </c>
      <c r="L202" s="22" t="s">
        <v>451</v>
      </c>
      <c r="M202" s="22" t="s">
        <v>567</v>
      </c>
      <c r="N202" s="22" t="s">
        <v>32</v>
      </c>
      <c r="O202" s="22" t="s">
        <v>45</v>
      </c>
      <c r="P202" s="22"/>
      <c r="Q202" s="22" t="str">
        <f>'2024_Draft_team'!$K202&amp;'2024_Draft_team'!$L202</f>
        <v>JaydenReed</v>
      </c>
      <c r="R202" s="22" t="b">
        <f t="array" ref="R202">IFERROR((INDEX('2024_Transactions'!$J$2:$J$339,MATCH(1,('2024_Draft_team'!$Q202='2024_Transactions'!$C$2:$C$339)*('2024_Draft_team'!$B202='2024_Transactions'!$B$2:$B$339)*('2024_Transactions'!$J$2:$J$339="Dropped"),0))="Dropped"),FALSE)</f>
        <v>0</v>
      </c>
    </row>
    <row r="203" ht="14.25" customHeight="1">
      <c r="A203" s="22" t="s">
        <v>1583</v>
      </c>
      <c r="B203" s="22" t="s">
        <v>6</v>
      </c>
      <c r="C203" s="22" t="s">
        <v>1584</v>
      </c>
      <c r="D203" s="22" t="s">
        <v>897</v>
      </c>
      <c r="E203" s="22" t="s">
        <v>1585</v>
      </c>
      <c r="F203" s="22">
        <v>312.0</v>
      </c>
      <c r="G203" s="22">
        <v>267.0</v>
      </c>
      <c r="H203" s="22" t="b">
        <f>(RIGHT('2024_Draft_team'!$C203,8)="(Keeper)")</f>
        <v>1</v>
      </c>
      <c r="I203" s="25" t="str">
        <f>IF(RIGHT(LEFT('2024_Draft_team'!$A203,3))="/",RIGHT(LEFT('2024_Draft_team'!$A203,2),1),RIGHT(LEFT('2024_Draft_team'!$A203,3),2))</f>
        <v>13</v>
      </c>
      <c r="J203" s="26">
        <f>IF(OR(AND(('2024_Draft_team'!$I203-4)&lt;=0,'2024_Draft_team'!$H203=TRUE),('2024_Draft_team'!$R203=TRUE)),"N/A",IF('2024_Draft_team'!$H203=TRUE,'2024_Draft_team'!$I203-4,'2024_Draft_team'!$I203-0))</f>
        <v>9</v>
      </c>
      <c r="K203" s="22" t="s">
        <v>552</v>
      </c>
      <c r="L203" s="22" t="s">
        <v>553</v>
      </c>
      <c r="M203" s="22" t="s">
        <v>39</v>
      </c>
      <c r="N203" s="22" t="s">
        <v>32</v>
      </c>
      <c r="O203" s="22" t="s">
        <v>54</v>
      </c>
      <c r="P203" s="22" t="s">
        <v>890</v>
      </c>
      <c r="Q203" s="22" t="str">
        <f>'2024_Draft_team'!$K203&amp;'2024_Draft_team'!$L203</f>
        <v>J.K.Dobbins</v>
      </c>
      <c r="R203" s="22" t="b">
        <f t="array" ref="R203">IFERROR((INDEX('2024_Transactions'!$J$2:$J$339,MATCH(1,('2024_Draft_team'!$Q203='2024_Transactions'!$C$2:$C$339)*('2024_Draft_team'!$B203='2024_Transactions'!$B$2:$B$339)*('2024_Transactions'!$J$2:$J$339="Dropped"),0))="Dropped"),FALSE)</f>
        <v>0</v>
      </c>
    </row>
    <row r="204" ht="14.25" customHeight="1">
      <c r="A204" s="22" t="s">
        <v>1586</v>
      </c>
      <c r="B204" s="22" t="s">
        <v>6</v>
      </c>
      <c r="C204" s="22" t="s">
        <v>1587</v>
      </c>
      <c r="D204" s="22" t="s">
        <v>923</v>
      </c>
      <c r="E204" s="22" t="s">
        <v>1588</v>
      </c>
      <c r="F204" s="22">
        <v>333.0</v>
      </c>
      <c r="G204" s="22">
        <v>175.0</v>
      </c>
      <c r="H204" s="22" t="b">
        <f>(RIGHT('2024_Draft_team'!$C204,8)="(Keeper)")</f>
        <v>1</v>
      </c>
      <c r="I204" s="25" t="str">
        <f>IF(RIGHT(LEFT('2024_Draft_team'!$A204,3))="/",RIGHT(LEFT('2024_Draft_team'!$A204,2),1),RIGHT(LEFT('2024_Draft_team'!$A204,3),2))</f>
        <v>14</v>
      </c>
      <c r="J204" s="26">
        <f>IF(OR(AND(('2024_Draft_team'!$I204-4)&lt;=0,'2024_Draft_team'!$H204=TRUE),('2024_Draft_team'!$R204=TRUE)),"N/A",IF('2024_Draft_team'!$H204=TRUE,'2024_Draft_team'!$I204-4,'2024_Draft_team'!$I204-0))</f>
        <v>10</v>
      </c>
      <c r="K204" s="22" t="s">
        <v>529</v>
      </c>
      <c r="L204" s="22" t="s">
        <v>530</v>
      </c>
      <c r="M204" s="22" t="s">
        <v>563</v>
      </c>
      <c r="N204" s="22" t="s">
        <v>32</v>
      </c>
      <c r="O204" s="22" t="s">
        <v>33</v>
      </c>
      <c r="P204" s="22" t="s">
        <v>890</v>
      </c>
      <c r="Q204" s="22" t="str">
        <f>'2024_Draft_team'!$K204&amp;'2024_Draft_team'!$L204</f>
        <v>DemarioDavis</v>
      </c>
      <c r="R204" s="22" t="b">
        <f t="array" ref="R204">IFERROR((INDEX('2024_Transactions'!$J$2:$J$339,MATCH(1,('2024_Draft_team'!$Q204='2024_Transactions'!$C$2:$C$339)*('2024_Draft_team'!$B204='2024_Transactions'!$B$2:$B$339)*('2024_Transactions'!$J$2:$J$339="Dropped"),0))="Dropped"),FALSE)</f>
        <v>0</v>
      </c>
    </row>
    <row r="205" ht="14.25" customHeight="1">
      <c r="A205" s="22" t="s">
        <v>1589</v>
      </c>
      <c r="B205" s="22" t="s">
        <v>6</v>
      </c>
      <c r="C205" s="22" t="s">
        <v>1590</v>
      </c>
      <c r="D205" s="22" t="s">
        <v>897</v>
      </c>
      <c r="E205" s="22" t="s">
        <v>1591</v>
      </c>
      <c r="F205" s="22">
        <v>580.0</v>
      </c>
      <c r="G205" s="22">
        <v>349.0</v>
      </c>
      <c r="H205" s="22" t="b">
        <f>(RIGHT('2024_Draft_team'!$C205,8)="(Keeper)")</f>
        <v>1</v>
      </c>
      <c r="I205" s="25" t="str">
        <f>IF(RIGHT(LEFT('2024_Draft_team'!$A205,3))="/",RIGHT(LEFT('2024_Draft_team'!$A205,2),1),RIGHT(LEFT('2024_Draft_team'!$A205,3),2))</f>
        <v>15</v>
      </c>
      <c r="J205" s="26">
        <f>IF(OR(AND(('2024_Draft_team'!$I205-4)&lt;=0,'2024_Draft_team'!$H205=TRUE),('2024_Draft_team'!$R205=TRUE)),"N/A",IF('2024_Draft_team'!$H205=TRUE,'2024_Draft_team'!$I205-4,'2024_Draft_team'!$I205-0))</f>
        <v>11</v>
      </c>
      <c r="K205" s="22" t="s">
        <v>518</v>
      </c>
      <c r="L205" s="22" t="s">
        <v>519</v>
      </c>
      <c r="M205" s="22" t="s">
        <v>29</v>
      </c>
      <c r="N205" s="22" t="s">
        <v>32</v>
      </c>
      <c r="O205" s="22" t="s">
        <v>136</v>
      </c>
      <c r="P205" s="22" t="s">
        <v>890</v>
      </c>
      <c r="Q205" s="22" t="str">
        <f>'2024_Draft_team'!$K205&amp;'2024_Draft_team'!$L205</f>
        <v>MatthewStafford</v>
      </c>
      <c r="R205" s="22" t="b">
        <f t="array" ref="R205">IFERROR((INDEX('2024_Transactions'!$J$2:$J$339,MATCH(1,('2024_Draft_team'!$Q205='2024_Transactions'!$C$2:$C$339)*('2024_Draft_team'!$B205='2024_Transactions'!$B$2:$B$339)*('2024_Transactions'!$J$2:$J$339="Dropped"),0))="Dropped"),FALSE)</f>
        <v>0</v>
      </c>
    </row>
    <row r="206" ht="14.25" customHeight="1">
      <c r="A206" s="22" t="s">
        <v>1592</v>
      </c>
      <c r="B206" s="22" t="s">
        <v>6</v>
      </c>
      <c r="C206" s="22" t="s">
        <v>1593</v>
      </c>
      <c r="D206" s="22" t="s">
        <v>1594</v>
      </c>
      <c r="E206" s="22" t="s">
        <v>1595</v>
      </c>
      <c r="F206" s="22">
        <v>387.0</v>
      </c>
      <c r="G206" s="22">
        <v>252.0</v>
      </c>
      <c r="H206" s="22" t="b">
        <f>(RIGHT('2024_Draft_team'!$C206,8)="(Keeper)")</f>
        <v>0</v>
      </c>
      <c r="I206" s="25" t="str">
        <f>IF(RIGHT(LEFT('2024_Draft_team'!$A206,3))="/",RIGHT(LEFT('2024_Draft_team'!$A206,2),1),RIGHT(LEFT('2024_Draft_team'!$A206,3),2))</f>
        <v>16</v>
      </c>
      <c r="J206" s="26">
        <f>IF(OR(AND(('2024_Draft_team'!$I206-4)&lt;=0,'2024_Draft_team'!$H206=TRUE),('2024_Draft_team'!$R206=TRUE)),"N/A",IF('2024_Draft_team'!$H206=TRUE,'2024_Draft_team'!$I206-4,'2024_Draft_team'!$I206-0))</f>
        <v>16</v>
      </c>
      <c r="K206" s="22" t="s">
        <v>193</v>
      </c>
      <c r="L206" s="22" t="s">
        <v>134</v>
      </c>
      <c r="M206" s="22" t="s">
        <v>39</v>
      </c>
      <c r="N206" s="22" t="s">
        <v>32</v>
      </c>
      <c r="O206" s="22" t="s">
        <v>119</v>
      </c>
      <c r="P206" s="22"/>
      <c r="Q206" s="22" t="str">
        <f>'2024_Draft_team'!$K206&amp;'2024_Draft_team'!$L206</f>
        <v>ChaseBrown</v>
      </c>
      <c r="R206" s="22" t="b">
        <f t="array" ref="R206">IFERROR((INDEX('2024_Transactions'!$J$2:$J$339,MATCH(1,('2024_Draft_team'!$Q206='2024_Transactions'!$C$2:$C$339)*('2024_Draft_team'!$B206='2024_Transactions'!$B$2:$B$339)*('2024_Transactions'!$J$2:$J$339="Dropped"),0))="Dropped"),FALSE)</f>
        <v>0</v>
      </c>
    </row>
    <row r="207" ht="14.25" customHeight="1">
      <c r="A207" s="22" t="s">
        <v>1596</v>
      </c>
      <c r="B207" s="22" t="s">
        <v>6</v>
      </c>
      <c r="C207" s="22" t="s">
        <v>1597</v>
      </c>
      <c r="D207" s="22" t="s">
        <v>897</v>
      </c>
      <c r="E207" s="22" t="s">
        <v>1598</v>
      </c>
      <c r="F207" s="22">
        <v>224.0</v>
      </c>
      <c r="G207" s="22">
        <v>168.0</v>
      </c>
      <c r="H207" s="22" t="b">
        <f>(RIGHT('2024_Draft_team'!$C207,8)="(Keeper)")</f>
        <v>1</v>
      </c>
      <c r="I207" s="25" t="str">
        <f>IF(RIGHT(LEFT('2024_Draft_team'!$A207,3))="/",RIGHT(LEFT('2024_Draft_team'!$A207,2),1),RIGHT(LEFT('2024_Draft_team'!$A207,3),2))</f>
        <v>17</v>
      </c>
      <c r="J207" s="26">
        <f>IF(OR(AND(('2024_Draft_team'!$I207-4)&lt;=0,'2024_Draft_team'!$H207=TRUE),('2024_Draft_team'!$R207=TRUE)),"N/A",IF('2024_Draft_team'!$H207=TRUE,'2024_Draft_team'!$I207-4,'2024_Draft_team'!$I207-0))</f>
        <v>13</v>
      </c>
      <c r="K207" s="22" t="s">
        <v>120</v>
      </c>
      <c r="L207" s="22" t="s">
        <v>554</v>
      </c>
      <c r="M207" s="22" t="s">
        <v>563</v>
      </c>
      <c r="N207" s="22" t="s">
        <v>32</v>
      </c>
      <c r="O207" s="22" t="s">
        <v>141</v>
      </c>
      <c r="P207" s="22" t="s">
        <v>890</v>
      </c>
      <c r="Q207" s="22" t="str">
        <f>'2024_Draft_team'!$K207&amp;'2024_Draft_team'!$L207</f>
        <v>AlexAnzalone</v>
      </c>
      <c r="R207" s="22" t="b">
        <f t="array" ref="R207">IFERROR((INDEX('2024_Transactions'!$J$2:$J$339,MATCH(1,('2024_Draft_team'!$Q207='2024_Transactions'!$C$2:$C$339)*('2024_Draft_team'!$B207='2024_Transactions'!$B$2:$B$339)*('2024_Transactions'!$J$2:$J$339="Dropped"),0))="Dropped"),FALSE)</f>
        <v>0</v>
      </c>
    </row>
    <row r="208" ht="14.25" customHeight="1">
      <c r="A208" s="22" t="s">
        <v>1599</v>
      </c>
      <c r="B208" s="22" t="s">
        <v>6</v>
      </c>
      <c r="C208" s="22" t="s">
        <v>1600</v>
      </c>
      <c r="D208" s="22" t="s">
        <v>1601</v>
      </c>
      <c r="E208" s="22" t="s">
        <v>1602</v>
      </c>
      <c r="F208" s="22">
        <v>164.0</v>
      </c>
      <c r="G208" s="22">
        <v>0.0</v>
      </c>
      <c r="H208" s="22" t="b">
        <f>(RIGHT('2024_Draft_team'!$C208,8)="(Keeper)")</f>
        <v>0</v>
      </c>
      <c r="I208" s="25" t="str">
        <f>IF(RIGHT(LEFT('2024_Draft_team'!$A208,3))="/",RIGHT(LEFT('2024_Draft_team'!$A208,2),1),RIGHT(LEFT('2024_Draft_team'!$A208,3),2))</f>
        <v>18</v>
      </c>
      <c r="J208" s="26" t="str">
        <f>IF(OR(AND(('2024_Draft_team'!$I208-4)&lt;=0,'2024_Draft_team'!$H208=TRUE),('2024_Draft_team'!$R208=TRUE)),"N/A",IF('2024_Draft_team'!$H208=TRUE,'2024_Draft_team'!$I208-4,'2024_Draft_team'!$I208-0))</f>
        <v>N/A</v>
      </c>
      <c r="K208" s="22" t="s">
        <v>852</v>
      </c>
      <c r="L208" s="22" t="s">
        <v>853</v>
      </c>
      <c r="M208" s="22" t="s">
        <v>573</v>
      </c>
      <c r="N208" s="22" t="s">
        <v>32</v>
      </c>
      <c r="O208" s="22" t="s">
        <v>49</v>
      </c>
      <c r="P208" s="22"/>
      <c r="Q208" s="22" t="str">
        <f>'2024_Draft_team'!$K208&amp;'2024_Draft_team'!$L208</f>
        <v>ChuckClark</v>
      </c>
      <c r="R208" s="22" t="b">
        <f t="array" ref="R208">IFERROR((INDEX('2024_Transactions'!$J$2:$J$339,MATCH(1,('2024_Draft_team'!$Q208='2024_Transactions'!$C$2:$C$339)*('2024_Draft_team'!$B208='2024_Transactions'!$B$2:$B$339)*('2024_Transactions'!$J$2:$J$339="Dropped"),0))="Dropped"),FALSE)</f>
        <v>1</v>
      </c>
    </row>
    <row r="209" ht="14.25" customHeight="1">
      <c r="A209" s="22" t="s">
        <v>1603</v>
      </c>
      <c r="B209" s="22" t="s">
        <v>6</v>
      </c>
      <c r="C209" s="22" t="s">
        <v>1604</v>
      </c>
      <c r="D209" s="22" t="s">
        <v>897</v>
      </c>
      <c r="E209" s="22" t="s">
        <v>1605</v>
      </c>
      <c r="F209" s="22">
        <v>169.0</v>
      </c>
      <c r="G209" s="22">
        <v>17.0</v>
      </c>
      <c r="H209" s="22" t="b">
        <f>(RIGHT('2024_Draft_team'!$C209,8)="(Keeper)")</f>
        <v>1</v>
      </c>
      <c r="I209" s="25" t="str">
        <f>IF(RIGHT(LEFT('2024_Draft_team'!$A209,3))="/",RIGHT(LEFT('2024_Draft_team'!$A209,2),1),RIGHT(LEFT('2024_Draft_team'!$A209,3),2))</f>
        <v>19</v>
      </c>
      <c r="J209" s="26">
        <f>IF(OR(AND(('2024_Draft_team'!$I209-4)&lt;=0,'2024_Draft_team'!$H209=TRUE),('2024_Draft_team'!$R209=TRUE)),"N/A",IF('2024_Draft_team'!$H209=TRUE,'2024_Draft_team'!$I209-4,'2024_Draft_team'!$I209-0))</f>
        <v>15</v>
      </c>
      <c r="K209" s="22" t="s">
        <v>1606</v>
      </c>
      <c r="L209" s="22" t="s">
        <v>1607</v>
      </c>
      <c r="M209" s="22" t="s">
        <v>573</v>
      </c>
      <c r="N209" s="22" t="s">
        <v>32</v>
      </c>
      <c r="O209" s="22" t="s">
        <v>58</v>
      </c>
      <c r="P209" s="22" t="s">
        <v>890</v>
      </c>
      <c r="Q209" s="22" t="str">
        <f>'2024_Draft_team'!$K209&amp;'2024_Draft_team'!$L209</f>
        <v>JevonHolland</v>
      </c>
      <c r="R209" s="22" t="b">
        <f t="array" ref="R209">IFERROR((INDEX('2024_Transactions'!$J$2:$J$339,MATCH(1,('2024_Draft_team'!$Q209='2024_Transactions'!$C$2:$C$339)*('2024_Draft_team'!$B209='2024_Transactions'!$B$2:$B$339)*('2024_Transactions'!$J$2:$J$339="Dropped"),0))="Dropped"),FALSE)</f>
        <v>0</v>
      </c>
    </row>
    <row r="210" ht="14.25" customHeight="1">
      <c r="A210" s="22" t="s">
        <v>1608</v>
      </c>
      <c r="B210" s="22" t="s">
        <v>6</v>
      </c>
      <c r="C210" s="22" t="s">
        <v>1609</v>
      </c>
      <c r="D210" s="22" t="s">
        <v>1610</v>
      </c>
      <c r="E210" s="22" t="s">
        <v>1611</v>
      </c>
      <c r="F210" s="22">
        <v>0.0</v>
      </c>
      <c r="G210" s="22">
        <v>0.0</v>
      </c>
      <c r="H210" s="22" t="b">
        <f>(RIGHT('2024_Draft_team'!$C210,8)="(Keeper)")</f>
        <v>0</v>
      </c>
      <c r="I210" s="25" t="str">
        <f>IF(RIGHT(LEFT('2024_Draft_team'!$A210,3))="/",RIGHT(LEFT('2024_Draft_team'!$A210,2),1),RIGHT(LEFT('2024_Draft_team'!$A210,3),2))</f>
        <v>20</v>
      </c>
      <c r="J210" s="26">
        <f>IF(OR(AND(('2024_Draft_team'!$I210-4)&lt;=0,'2024_Draft_team'!$H210=TRUE),('2024_Draft_team'!$R210=TRUE)),"N/A",IF('2024_Draft_team'!$H210=TRUE,'2024_Draft_team'!$I210-4,'2024_Draft_team'!$I210-0))</f>
        <v>20</v>
      </c>
      <c r="K210" s="22" t="s">
        <v>550</v>
      </c>
      <c r="L210" s="22" t="s">
        <v>551</v>
      </c>
      <c r="M210" s="22" t="s">
        <v>29</v>
      </c>
      <c r="N210" s="22" t="s">
        <v>32</v>
      </c>
      <c r="O210" s="22" t="s">
        <v>79</v>
      </c>
      <c r="P210" s="22"/>
      <c r="Q210" s="22" t="str">
        <f>'2024_Draft_team'!$K210&amp;'2024_Draft_team'!$L210</f>
        <v>J.J.McCarthy</v>
      </c>
      <c r="R210" s="22" t="b">
        <f t="array" ref="R210">IFERROR((INDEX('2024_Transactions'!$J$2:$J$339,MATCH(1,('2024_Draft_team'!$Q210='2024_Transactions'!$C$2:$C$339)*('2024_Draft_team'!$B210='2024_Transactions'!$B$2:$B$339)*('2024_Transactions'!$J$2:$J$339="Dropped"),0))="Dropped"),FALSE)</f>
        <v>0</v>
      </c>
    </row>
    <row r="211" ht="14.25" customHeight="1">
      <c r="A211" s="22" t="s">
        <v>1612</v>
      </c>
      <c r="B211" s="22" t="s">
        <v>6</v>
      </c>
      <c r="C211" s="22" t="s">
        <v>1613</v>
      </c>
      <c r="D211" s="22" t="s">
        <v>1614</v>
      </c>
      <c r="E211" s="22" t="s">
        <v>1615</v>
      </c>
      <c r="F211" s="22">
        <v>111.0</v>
      </c>
      <c r="G211" s="22">
        <v>5.0</v>
      </c>
      <c r="H211" s="22" t="b">
        <f>(RIGHT('2024_Draft_team'!$C211,8)="(Keeper)")</f>
        <v>0</v>
      </c>
      <c r="I211" s="25" t="str">
        <f>IF(RIGHT(LEFT('2024_Draft_team'!$A211,3))="/",RIGHT(LEFT('2024_Draft_team'!$A211,2),1),RIGHT(LEFT('2024_Draft_team'!$A211,3),2))</f>
        <v>21</v>
      </c>
      <c r="J211" s="26" t="str">
        <f>IF(OR(AND(('2024_Draft_team'!$I211-4)&lt;=0,'2024_Draft_team'!$H211=TRUE),('2024_Draft_team'!$R211=TRUE)),"N/A",IF('2024_Draft_team'!$H211=TRUE,'2024_Draft_team'!$I211-4,'2024_Draft_team'!$I211-0))</f>
        <v>N/A</v>
      </c>
      <c r="K211" s="22" t="s">
        <v>423</v>
      </c>
      <c r="L211" s="22" t="s">
        <v>297</v>
      </c>
      <c r="M211" s="22" t="s">
        <v>567</v>
      </c>
      <c r="N211" s="22" t="s">
        <v>32</v>
      </c>
      <c r="O211" s="22" t="s">
        <v>170</v>
      </c>
      <c r="P211" s="22"/>
      <c r="Q211" s="22" t="str">
        <f>'2024_Draft_team'!$K211&amp;'2024_Draft_team'!$L211</f>
        <v>MikeWilliams</v>
      </c>
      <c r="R211" s="22" t="b">
        <f t="array" ref="R211">IFERROR((INDEX('2024_Transactions'!$J$2:$J$339,MATCH(1,('2024_Draft_team'!$Q211='2024_Transactions'!$C$2:$C$339)*('2024_Draft_team'!$B211='2024_Transactions'!$B$2:$B$339)*('2024_Transactions'!$J$2:$J$339="Dropped"),0))="Dropped"),FALSE)</f>
        <v>1</v>
      </c>
    </row>
    <row r="212" ht="14.25" customHeight="1">
      <c r="A212" s="22" t="s">
        <v>1616</v>
      </c>
      <c r="B212" s="22" t="s">
        <v>6</v>
      </c>
      <c r="C212" s="22" t="s">
        <v>1617</v>
      </c>
      <c r="D212" s="22" t="s">
        <v>897</v>
      </c>
      <c r="E212" s="22" t="s">
        <v>1618</v>
      </c>
      <c r="F212" s="22">
        <v>107.0</v>
      </c>
      <c r="G212" s="22">
        <v>0.0</v>
      </c>
      <c r="H212" s="22" t="b">
        <f>(RIGHT('2024_Draft_team'!$C212,8)="(Keeper)")</f>
        <v>1</v>
      </c>
      <c r="I212" s="25" t="str">
        <f>IF(RIGHT(LEFT('2024_Draft_team'!$A212,3))="/",RIGHT(LEFT('2024_Draft_team'!$A212,2),1),RIGHT(LEFT('2024_Draft_team'!$A212,3),2))</f>
        <v>22</v>
      </c>
      <c r="J212" s="26" t="str">
        <f>IF(OR(AND(('2024_Draft_team'!$I212-4)&lt;=0,'2024_Draft_team'!$H212=TRUE),('2024_Draft_team'!$R212=TRUE)),"N/A",IF('2024_Draft_team'!$H212=TRUE,'2024_Draft_team'!$I212-4,'2024_Draft_team'!$I212-0))</f>
        <v>N/A</v>
      </c>
      <c r="K212" s="22" t="s">
        <v>807</v>
      </c>
      <c r="L212" s="22" t="s">
        <v>266</v>
      </c>
      <c r="M212" s="22" t="s">
        <v>39</v>
      </c>
      <c r="N212" s="22" t="s">
        <v>32</v>
      </c>
      <c r="O212" s="22" t="s">
        <v>66</v>
      </c>
      <c r="P212" s="22" t="s">
        <v>890</v>
      </c>
      <c r="Q212" s="22" t="str">
        <f>'2024_Draft_team'!$K212&amp;'2024_Draft_team'!$L212</f>
        <v>RoschonJohnson</v>
      </c>
      <c r="R212" s="22" t="b">
        <f t="array" ref="R212">IFERROR((INDEX('2024_Transactions'!$J$2:$J$339,MATCH(1,('2024_Draft_team'!$Q212='2024_Transactions'!$C$2:$C$339)*('2024_Draft_team'!$B212='2024_Transactions'!$B$2:$B$339)*('2024_Transactions'!$J$2:$J$339="Dropped"),0))="Dropped"),FALSE)</f>
        <v>1</v>
      </c>
    </row>
    <row r="213" ht="14.25" customHeight="1">
      <c r="A213" s="22" t="s">
        <v>1619</v>
      </c>
      <c r="B213" s="22" t="s">
        <v>6</v>
      </c>
      <c r="C213" s="22" t="s">
        <v>1620</v>
      </c>
      <c r="D213" s="22" t="s">
        <v>1621</v>
      </c>
      <c r="E213" s="22" t="s">
        <v>1622</v>
      </c>
      <c r="F213" s="22">
        <v>110.0</v>
      </c>
      <c r="G213" s="22">
        <v>0.0</v>
      </c>
      <c r="H213" s="22" t="b">
        <f>(RIGHT('2024_Draft_team'!$C213,8)="(Keeper)")</f>
        <v>0</v>
      </c>
      <c r="I213" s="25" t="str">
        <f>IF(RIGHT(LEFT('2024_Draft_team'!$A213,3))="/",RIGHT(LEFT('2024_Draft_team'!$A213,2),1),RIGHT(LEFT('2024_Draft_team'!$A213,3),2))</f>
        <v>23</v>
      </c>
      <c r="J213" s="26">
        <f>IF(OR(AND(('2024_Draft_team'!$I213-4)&lt;=0,'2024_Draft_team'!$H213=TRUE),('2024_Draft_team'!$R213=TRUE)),"N/A",IF('2024_Draft_team'!$H213=TRUE,'2024_Draft_team'!$I213-4,'2024_Draft_team'!$I213-0))</f>
        <v>23</v>
      </c>
      <c r="K213" s="22" t="s">
        <v>536</v>
      </c>
      <c r="L213" s="22" t="s">
        <v>94</v>
      </c>
      <c r="M213" s="22" t="s">
        <v>39</v>
      </c>
      <c r="N213" s="22" t="s">
        <v>32</v>
      </c>
      <c r="O213" s="22" t="s">
        <v>49</v>
      </c>
      <c r="P213" s="22"/>
      <c r="Q213" s="22" t="str">
        <f>'2024_Draft_team'!$K213&amp;'2024_Draft_team'!$L213</f>
        <v>BraelonAllen</v>
      </c>
      <c r="R213" s="22" t="b">
        <f t="array" ref="R213">IFERROR((INDEX('2024_Transactions'!$J$2:$J$339,MATCH(1,('2024_Draft_team'!$Q213='2024_Transactions'!$C$2:$C$339)*('2024_Draft_team'!$B213='2024_Transactions'!$B$2:$B$339)*('2024_Transactions'!$J$2:$J$339="Dropped"),0))="Dropped"),FALSE)</f>
        <v>0</v>
      </c>
    </row>
    <row r="214" ht="14.25" customHeight="1">
      <c r="A214" s="22" t="s">
        <v>1623</v>
      </c>
      <c r="B214" s="22" t="s">
        <v>6</v>
      </c>
      <c r="C214" s="22" t="s">
        <v>1624</v>
      </c>
      <c r="D214" s="22" t="s">
        <v>897</v>
      </c>
      <c r="E214" s="22" t="s">
        <v>1625</v>
      </c>
      <c r="F214" s="22">
        <v>187.0</v>
      </c>
      <c r="G214" s="22">
        <v>117.0</v>
      </c>
      <c r="H214" s="22" t="b">
        <f>(RIGHT('2024_Draft_team'!$C214,8)="(Keeper)")</f>
        <v>1</v>
      </c>
      <c r="I214" s="25" t="str">
        <f>IF(RIGHT(LEFT('2024_Draft_team'!$A214,3))="/",RIGHT(LEFT('2024_Draft_team'!$A214,2),1),RIGHT(LEFT('2024_Draft_team'!$A214,3),2))</f>
        <v>24</v>
      </c>
      <c r="J214" s="26">
        <f>IF(OR(AND(('2024_Draft_team'!$I214-4)&lt;=0,'2024_Draft_team'!$H214=TRUE),('2024_Draft_team'!$R214=TRUE)),"N/A",IF('2024_Draft_team'!$H214=TRUE,'2024_Draft_team'!$I214-4,'2024_Draft_team'!$I214-0))</f>
        <v>20</v>
      </c>
      <c r="K214" s="22" t="s">
        <v>334</v>
      </c>
      <c r="L214" s="22" t="s">
        <v>555</v>
      </c>
      <c r="M214" s="22" t="s">
        <v>573</v>
      </c>
      <c r="N214" s="22" t="s">
        <v>32</v>
      </c>
      <c r="O214" s="22" t="s">
        <v>238</v>
      </c>
      <c r="P214" s="22" t="s">
        <v>890</v>
      </c>
      <c r="Q214" s="22" t="str">
        <f>'2024_Draft_team'!$K214&amp;'2024_Draft_team'!$L214</f>
        <v>JordanWhitehead</v>
      </c>
      <c r="R214" s="22" t="b">
        <f t="array" ref="R214">IFERROR((INDEX('2024_Transactions'!$J$2:$J$339,MATCH(1,('2024_Draft_team'!$Q214='2024_Transactions'!$C$2:$C$339)*('2024_Draft_team'!$B214='2024_Transactions'!$B$2:$B$339)*('2024_Transactions'!$J$2:$J$339="Dropped"),0))="Dropped"),FALSE)</f>
        <v>0</v>
      </c>
    </row>
    <row r="215" ht="14.25" customHeight="1">
      <c r="A215" s="22" t="s">
        <v>1626</v>
      </c>
      <c r="B215" s="22" t="s">
        <v>6</v>
      </c>
      <c r="C215" s="22" t="s">
        <v>1627</v>
      </c>
      <c r="D215" s="22" t="s">
        <v>897</v>
      </c>
      <c r="E215" s="22" t="s">
        <v>1628</v>
      </c>
      <c r="F215" s="22">
        <v>418.0</v>
      </c>
      <c r="G215" s="22">
        <v>372.0</v>
      </c>
      <c r="H215" s="22" t="b">
        <f>(RIGHT('2024_Draft_team'!$C215,8)="(Keeper)")</f>
        <v>1</v>
      </c>
      <c r="I215" s="25" t="str">
        <f>IF(RIGHT(LEFT('2024_Draft_team'!$A215,3))="/",RIGHT(LEFT('2024_Draft_team'!$A215,2),1),RIGHT(LEFT('2024_Draft_team'!$A215,3),2))</f>
        <v>25</v>
      </c>
      <c r="J215" s="26">
        <f>IF(OR(AND(('2024_Draft_team'!$I215-4)&lt;=0,'2024_Draft_team'!$H215=TRUE),('2024_Draft_team'!$R215=TRUE)),"N/A",IF('2024_Draft_team'!$H215=TRUE,'2024_Draft_team'!$I215-4,'2024_Draft_team'!$I215-0))</f>
        <v>21</v>
      </c>
      <c r="K215" s="22" t="s">
        <v>158</v>
      </c>
      <c r="L215" s="22" t="s">
        <v>527</v>
      </c>
      <c r="M215" s="22" t="s">
        <v>573</v>
      </c>
      <c r="N215" s="22" t="s">
        <v>32</v>
      </c>
      <c r="O215" s="22" t="s">
        <v>141</v>
      </c>
      <c r="P215" s="22" t="s">
        <v>890</v>
      </c>
      <c r="Q215" s="22" t="str">
        <f>'2024_Draft_team'!$K215&amp;'2024_Draft_team'!$L215</f>
        <v>BrianBranch</v>
      </c>
      <c r="R215" s="22" t="b">
        <f t="array" ref="R215">IFERROR((INDEX('2024_Transactions'!$J$2:$J$339,MATCH(1,('2024_Draft_team'!$Q215='2024_Transactions'!$C$2:$C$339)*('2024_Draft_team'!$B215='2024_Transactions'!$B$2:$B$339)*('2024_Transactions'!$J$2:$J$339="Dropped"),0))="Dropped"),FALSE)</f>
        <v>0</v>
      </c>
    </row>
    <row r="216" ht="14.25" customHeight="1">
      <c r="A216" s="22" t="s">
        <v>1629</v>
      </c>
      <c r="B216" s="22" t="s">
        <v>6</v>
      </c>
      <c r="C216" s="22" t="s">
        <v>1630</v>
      </c>
      <c r="D216" s="22" t="s">
        <v>1631</v>
      </c>
      <c r="E216" s="22" t="s">
        <v>1632</v>
      </c>
      <c r="F216" s="22">
        <v>49.0</v>
      </c>
      <c r="G216" s="22">
        <v>0.0</v>
      </c>
      <c r="H216" s="22" t="b">
        <f>(RIGHT('2024_Draft_team'!$C216,8)="(Keeper)")</f>
        <v>0</v>
      </c>
      <c r="I216" s="25" t="str">
        <f>IF(RIGHT(LEFT('2024_Draft_team'!$A216,3))="/",RIGHT(LEFT('2024_Draft_team'!$A216,2),1),RIGHT(LEFT('2024_Draft_team'!$A216,3),2))</f>
        <v>26</v>
      </c>
      <c r="J216" s="26">
        <f>IF(OR(AND(('2024_Draft_team'!$I216-4)&lt;=0,'2024_Draft_team'!$H216=TRUE),('2024_Draft_team'!$R216=TRUE)),"N/A",IF('2024_Draft_team'!$H216=TRUE,'2024_Draft_team'!$I216-4,'2024_Draft_team'!$I216-0))</f>
        <v>26</v>
      </c>
      <c r="K216" s="22" t="s">
        <v>548</v>
      </c>
      <c r="L216" s="22" t="s">
        <v>549</v>
      </c>
      <c r="M216" s="22" t="s">
        <v>563</v>
      </c>
      <c r="N216" s="22" t="s">
        <v>32</v>
      </c>
      <c r="O216" s="22" t="s">
        <v>49</v>
      </c>
      <c r="P216" s="22"/>
      <c r="Q216" s="22" t="str">
        <f>'2024_Draft_team'!$K216&amp;'2024_Draft_team'!$L216</f>
        <v>HaasonReddick</v>
      </c>
      <c r="R216" s="22" t="b">
        <f t="array" ref="R216">IFERROR((INDEX('2024_Transactions'!$J$2:$J$339,MATCH(1,('2024_Draft_team'!$Q216='2024_Transactions'!$C$2:$C$339)*('2024_Draft_team'!$B216='2024_Transactions'!$B$2:$B$339)*('2024_Transactions'!$J$2:$J$339="Dropped"),0))="Dropped"),FALSE)</f>
        <v>0</v>
      </c>
    </row>
    <row r="217" ht="14.25" customHeight="1">
      <c r="A217" s="22" t="s">
        <v>1633</v>
      </c>
      <c r="B217" s="22" t="s">
        <v>6</v>
      </c>
      <c r="C217" s="22" t="s">
        <v>1634</v>
      </c>
      <c r="D217" s="22" t="s">
        <v>1635</v>
      </c>
      <c r="E217" s="22" t="s">
        <v>1636</v>
      </c>
      <c r="F217" s="22">
        <v>60.0</v>
      </c>
      <c r="G217" s="22">
        <v>62.0</v>
      </c>
      <c r="H217" s="22" t="b">
        <f>(RIGHT('2024_Draft_team'!$C217,8)="(Keeper)")</f>
        <v>0</v>
      </c>
      <c r="I217" s="25" t="str">
        <f>IF(RIGHT(LEFT('2024_Draft_team'!$A217,3))="/",RIGHT(LEFT('2024_Draft_team'!$A217,2),1),RIGHT(LEFT('2024_Draft_team'!$A217,3),2))</f>
        <v>27</v>
      </c>
      <c r="J217" s="26">
        <f>IF(OR(AND(('2024_Draft_team'!$I217-4)&lt;=0,'2024_Draft_team'!$H217=TRUE),('2024_Draft_team'!$R217=TRUE)),"N/A",IF('2024_Draft_team'!$H217=TRUE,'2024_Draft_team'!$I217-4,'2024_Draft_team'!$I217-0))</f>
        <v>27</v>
      </c>
      <c r="K217" s="22" t="s">
        <v>602</v>
      </c>
      <c r="L217" s="22" t="s">
        <v>1637</v>
      </c>
      <c r="M217" s="22" t="s">
        <v>55</v>
      </c>
      <c r="N217" s="22" t="s">
        <v>32</v>
      </c>
      <c r="O217" s="22" t="s">
        <v>49</v>
      </c>
      <c r="P217" s="22"/>
      <c r="Q217" s="22" t="str">
        <f>'2024_Draft_team'!$K217&amp;'2024_Draft_team'!$L217</f>
        <v>GregZuerlein</v>
      </c>
      <c r="R217" s="22" t="b">
        <f t="array" ref="R217">IFERROR((INDEX('2024_Transactions'!$J$2:$J$339,MATCH(1,('2024_Draft_team'!$Q217='2024_Transactions'!$C$2:$C$339)*('2024_Draft_team'!$B217='2024_Transactions'!$B$2:$B$339)*('2024_Transactions'!$J$2:$J$339="Dropped"),0))="Dropped"),FALSE)</f>
        <v>0</v>
      </c>
    </row>
    <row r="218" ht="14.25" customHeight="1">
      <c r="A218" s="22" t="s">
        <v>1638</v>
      </c>
      <c r="B218" s="22" t="s">
        <v>8</v>
      </c>
      <c r="C218" s="22" t="s">
        <v>1639</v>
      </c>
      <c r="D218" s="22" t="s">
        <v>897</v>
      </c>
      <c r="E218" s="22" t="s">
        <v>1640</v>
      </c>
      <c r="F218" s="22">
        <v>857.0</v>
      </c>
      <c r="G218" s="22">
        <v>658.0</v>
      </c>
      <c r="H218" s="22" t="b">
        <f>(RIGHT('2024_Draft_team'!$C218,8)="(Keeper)")</f>
        <v>1</v>
      </c>
      <c r="I218" s="25" t="str">
        <f>IF(RIGHT(LEFT('2024_Draft_team'!$A218,3))="/",RIGHT(LEFT('2024_Draft_team'!$A218,2),1),RIGHT(LEFT('2024_Draft_team'!$A218,3),2))</f>
        <v>1</v>
      </c>
      <c r="J218" s="26" t="str">
        <f>IF(OR(AND(('2024_Draft_team'!$I218-4)&lt;=0,'2024_Draft_team'!$H218=TRUE),('2024_Draft_team'!$R218=TRUE)),"N/A",IF('2024_Draft_team'!$H218=TRUE,'2024_Draft_team'!$I218-4,'2024_Draft_team'!$I218-0))</f>
        <v>N/A</v>
      </c>
      <c r="K218" s="22" t="s">
        <v>122</v>
      </c>
      <c r="L218" s="22" t="s">
        <v>123</v>
      </c>
      <c r="M218" s="22" t="s">
        <v>29</v>
      </c>
      <c r="N218" s="22" t="s">
        <v>32</v>
      </c>
      <c r="O218" s="22" t="s">
        <v>124</v>
      </c>
      <c r="P218" s="22" t="s">
        <v>890</v>
      </c>
      <c r="Q218" s="22" t="str">
        <f>'2024_Draft_team'!$K218&amp;'2024_Draft_team'!$L218</f>
        <v>JalenHurts</v>
      </c>
      <c r="R218" s="22" t="b">
        <f t="array" ref="R218">IFERROR((INDEX('2024_Transactions'!$J$2:$J$339,MATCH(1,('2024_Draft_team'!$Q218='2024_Transactions'!$C$2:$C$339)*('2024_Draft_team'!$B218='2024_Transactions'!$B$2:$B$339)*('2024_Transactions'!$J$2:$J$339="Dropped"),0))="Dropped"),FALSE)</f>
        <v>0</v>
      </c>
    </row>
    <row r="219" ht="14.25" customHeight="1">
      <c r="A219" s="22" t="s">
        <v>1641</v>
      </c>
      <c r="B219" s="22" t="s">
        <v>8</v>
      </c>
      <c r="C219" s="22" t="s">
        <v>1642</v>
      </c>
      <c r="D219" s="22" t="s">
        <v>1643</v>
      </c>
      <c r="E219" s="22" t="s">
        <v>1644</v>
      </c>
      <c r="F219" s="22">
        <v>303.0</v>
      </c>
      <c r="G219" s="22">
        <v>277.0</v>
      </c>
      <c r="H219" s="22" t="b">
        <f>(RIGHT('2024_Draft_team'!$C219,8)="(Keeper)")</f>
        <v>0</v>
      </c>
      <c r="I219" s="25" t="str">
        <f>IF(RIGHT(LEFT('2024_Draft_team'!$A219,3))="/",RIGHT(LEFT('2024_Draft_team'!$A219,2),1),RIGHT(LEFT('2024_Draft_team'!$A219,3),2))</f>
        <v>2</v>
      </c>
      <c r="J219" s="26">
        <f>IF(OR(AND(('2024_Draft_team'!$I219-4)&lt;=0,'2024_Draft_team'!$H219=TRUE),('2024_Draft_team'!$R219=TRUE)),"N/A",IF('2024_Draft_team'!$H219=TRUE,'2024_Draft_team'!$I219-4,'2024_Draft_team'!$I219-0))</f>
        <v>2</v>
      </c>
      <c r="K219" s="22" t="s">
        <v>92</v>
      </c>
      <c r="L219" s="22" t="s">
        <v>135</v>
      </c>
      <c r="M219" s="22" t="s">
        <v>567</v>
      </c>
      <c r="N219" s="22" t="s">
        <v>32</v>
      </c>
      <c r="O219" s="22" t="s">
        <v>136</v>
      </c>
      <c r="P219" s="22"/>
      <c r="Q219" s="22" t="str">
        <f>'2024_Draft_team'!$K219&amp;'2024_Draft_team'!$L219</f>
        <v>CooperKupp</v>
      </c>
      <c r="R219" s="22" t="b">
        <f t="array" ref="R219">IFERROR((INDEX('2024_Transactions'!$J$2:$J$339,MATCH(1,('2024_Draft_team'!$Q219='2024_Transactions'!$C$2:$C$339)*('2024_Draft_team'!$B219='2024_Transactions'!$B$2:$B$339)*('2024_Transactions'!$J$2:$J$339="Dropped"),0))="Dropped"),FALSE)</f>
        <v>0</v>
      </c>
    </row>
    <row r="220" ht="14.25" customHeight="1">
      <c r="A220" s="22" t="s">
        <v>1645</v>
      </c>
      <c r="B220" s="22" t="s">
        <v>8</v>
      </c>
      <c r="C220" s="22" t="s">
        <v>1646</v>
      </c>
      <c r="D220" s="22" t="s">
        <v>897</v>
      </c>
      <c r="E220" s="22" t="s">
        <v>1647</v>
      </c>
      <c r="F220" s="22">
        <v>279.0</v>
      </c>
      <c r="G220" s="22">
        <v>244.0</v>
      </c>
      <c r="H220" s="22" t="b">
        <f>(RIGHT('2024_Draft_team'!$C220,8)="(Keeper)")</f>
        <v>1</v>
      </c>
      <c r="I220" s="25" t="str">
        <f>IF(RIGHT(LEFT('2024_Draft_team'!$A220,3))="/",RIGHT(LEFT('2024_Draft_team'!$A220,2),1),RIGHT(LEFT('2024_Draft_team'!$A220,3),2))</f>
        <v>3</v>
      </c>
      <c r="J220" s="26" t="str">
        <f>IF(OR(AND(('2024_Draft_team'!$I220-4)&lt;=0,'2024_Draft_team'!$H220=TRUE),('2024_Draft_team'!$R220=TRUE)),"N/A",IF('2024_Draft_team'!$H220=TRUE,'2024_Draft_team'!$I220-4,'2024_Draft_team'!$I220-0))</f>
        <v>N/A</v>
      </c>
      <c r="K220" s="22" t="s">
        <v>146</v>
      </c>
      <c r="L220" s="22" t="s">
        <v>147</v>
      </c>
      <c r="M220" s="22" t="s">
        <v>563</v>
      </c>
      <c r="N220" s="22" t="s">
        <v>32</v>
      </c>
      <c r="O220" s="22" t="s">
        <v>148</v>
      </c>
      <c r="P220" s="22" t="s">
        <v>890</v>
      </c>
      <c r="Q220" s="22" t="str">
        <f>'2024_Draft_team'!$K220&amp;'2024_Draft_team'!$L220</f>
        <v>FoyeOluokun</v>
      </c>
      <c r="R220" s="22" t="b">
        <f t="array" ref="R220">IFERROR((INDEX('2024_Transactions'!$J$2:$J$339,MATCH(1,('2024_Draft_team'!$Q220='2024_Transactions'!$C$2:$C$339)*('2024_Draft_team'!$B220='2024_Transactions'!$B$2:$B$339)*('2024_Transactions'!$J$2:$J$339="Dropped"),0))="Dropped"),FALSE)</f>
        <v>0</v>
      </c>
    </row>
    <row r="221" ht="14.25" customHeight="1">
      <c r="A221" s="22" t="s">
        <v>1648</v>
      </c>
      <c r="B221" s="22" t="s">
        <v>8</v>
      </c>
      <c r="C221" s="22" t="s">
        <v>1649</v>
      </c>
      <c r="D221" s="22" t="s">
        <v>897</v>
      </c>
      <c r="E221" s="22" t="s">
        <v>1650</v>
      </c>
      <c r="F221" s="22">
        <v>408.0</v>
      </c>
      <c r="G221" s="22">
        <v>340.0</v>
      </c>
      <c r="H221" s="22" t="b">
        <f>(RIGHT('2024_Draft_team'!$C221,8)="(Keeper)")</f>
        <v>1</v>
      </c>
      <c r="I221" s="25" t="str">
        <f>IF(RIGHT(LEFT('2024_Draft_team'!$A221,3))="/",RIGHT(LEFT('2024_Draft_team'!$A221,2),1),RIGHT(LEFT('2024_Draft_team'!$A221,3),2))</f>
        <v>4</v>
      </c>
      <c r="J221" s="26" t="str">
        <f>IF(OR(AND(('2024_Draft_team'!$I221-4)&lt;=0,'2024_Draft_team'!$H221=TRUE),('2024_Draft_team'!$R221=TRUE)),"N/A",IF('2024_Draft_team'!$H221=TRUE,'2024_Draft_team'!$I221-4,'2024_Draft_team'!$I221-0))</f>
        <v>N/A</v>
      </c>
      <c r="K221" s="22" t="s">
        <v>133</v>
      </c>
      <c r="L221" s="22" t="s">
        <v>134</v>
      </c>
      <c r="M221" s="22" t="s">
        <v>567</v>
      </c>
      <c r="N221" s="22" t="s">
        <v>32</v>
      </c>
      <c r="O221" s="22" t="s">
        <v>124</v>
      </c>
      <c r="P221" s="22" t="s">
        <v>890</v>
      </c>
      <c r="Q221" s="22" t="str">
        <f>'2024_Draft_team'!$K221&amp;'2024_Draft_team'!$L221</f>
        <v>A.J.Brown</v>
      </c>
      <c r="R221" s="22" t="b">
        <f t="array" ref="R221">IFERROR((INDEX('2024_Transactions'!$J$2:$J$339,MATCH(1,('2024_Draft_team'!$Q221='2024_Transactions'!$C$2:$C$339)*('2024_Draft_team'!$B221='2024_Transactions'!$B$2:$B$339)*('2024_Transactions'!$J$2:$J$339="Dropped"),0))="Dropped"),FALSE)</f>
        <v>0</v>
      </c>
    </row>
    <row r="222" ht="14.25" customHeight="1">
      <c r="A222" s="22" t="s">
        <v>1651</v>
      </c>
      <c r="B222" s="22" t="s">
        <v>8</v>
      </c>
      <c r="C222" s="22" t="s">
        <v>1652</v>
      </c>
      <c r="D222" s="22" t="s">
        <v>897</v>
      </c>
      <c r="E222" s="22" t="s">
        <v>1653</v>
      </c>
      <c r="F222" s="22">
        <v>251.0</v>
      </c>
      <c r="G222" s="22">
        <v>183.0</v>
      </c>
      <c r="H222" s="22" t="b">
        <f>(RIGHT('2024_Draft_team'!$C222,8)="(Keeper)")</f>
        <v>1</v>
      </c>
      <c r="I222" s="25" t="str">
        <f>IF(RIGHT(LEFT('2024_Draft_team'!$A222,3))="/",RIGHT(LEFT('2024_Draft_team'!$A222,2),1),RIGHT(LEFT('2024_Draft_team'!$A222,3),2))</f>
        <v>5</v>
      </c>
      <c r="J222" s="26">
        <f>IF(OR(AND(('2024_Draft_team'!$I222-4)&lt;=0,'2024_Draft_team'!$H222=TRUE),('2024_Draft_team'!$R222=TRUE)),"N/A",IF('2024_Draft_team'!$H222=TRUE,'2024_Draft_team'!$I222-4,'2024_Draft_team'!$I222-0))</f>
        <v>1</v>
      </c>
      <c r="K222" s="22" t="s">
        <v>149</v>
      </c>
      <c r="L222" s="22" t="s">
        <v>150</v>
      </c>
      <c r="M222" s="22" t="s">
        <v>563</v>
      </c>
      <c r="N222" s="22" t="s">
        <v>32</v>
      </c>
      <c r="O222" s="22" t="s">
        <v>87</v>
      </c>
      <c r="P222" s="22" t="s">
        <v>890</v>
      </c>
      <c r="Q222" s="22" t="str">
        <f>'2024_Draft_team'!$K222&amp;'2024_Draft_team'!$L222</f>
        <v>MicahParsons</v>
      </c>
      <c r="R222" s="22" t="b">
        <f t="array" ref="R222">IFERROR((INDEX('2024_Transactions'!$J$2:$J$339,MATCH(1,('2024_Draft_team'!$Q222='2024_Transactions'!$C$2:$C$339)*('2024_Draft_team'!$B222='2024_Transactions'!$B$2:$B$339)*('2024_Transactions'!$J$2:$J$339="Dropped"),0))="Dropped"),FALSE)</f>
        <v>0</v>
      </c>
    </row>
    <row r="223" ht="14.25" customHeight="1">
      <c r="A223" s="22" t="s">
        <v>1654</v>
      </c>
      <c r="B223" s="22" t="s">
        <v>8</v>
      </c>
      <c r="C223" s="22" t="s">
        <v>1655</v>
      </c>
      <c r="D223" s="22" t="s">
        <v>897</v>
      </c>
      <c r="E223" s="22" t="s">
        <v>1656</v>
      </c>
      <c r="F223" s="22">
        <v>309.0</v>
      </c>
      <c r="G223" s="22">
        <v>293.0</v>
      </c>
      <c r="H223" s="22" t="b">
        <f>(RIGHT('2024_Draft_team'!$C223,8)="(Keeper)")</f>
        <v>1</v>
      </c>
      <c r="I223" s="25" t="str">
        <f>IF(RIGHT(LEFT('2024_Draft_team'!$A223,3))="/",RIGHT(LEFT('2024_Draft_team'!$A223,2),1),RIGHT(LEFT('2024_Draft_team'!$A223,3),2))</f>
        <v>6</v>
      </c>
      <c r="J223" s="26">
        <f>IF(OR(AND(('2024_Draft_team'!$I223-4)&lt;=0,'2024_Draft_team'!$H223=TRUE),('2024_Draft_team'!$R223=TRUE)),"N/A",IF('2024_Draft_team'!$H223=TRUE,'2024_Draft_team'!$I223-4,'2024_Draft_team'!$I223-0))</f>
        <v>2</v>
      </c>
      <c r="K223" s="22" t="s">
        <v>152</v>
      </c>
      <c r="L223" s="22" t="s">
        <v>153</v>
      </c>
      <c r="M223" s="22" t="s">
        <v>563</v>
      </c>
      <c r="N223" s="22" t="s">
        <v>32</v>
      </c>
      <c r="O223" s="22" t="s">
        <v>45</v>
      </c>
      <c r="P223" s="22" t="s">
        <v>890</v>
      </c>
      <c r="Q223" s="22" t="str">
        <f>'2024_Draft_team'!$K223&amp;'2024_Draft_team'!$L223</f>
        <v>QuayWalker</v>
      </c>
      <c r="R223" s="22" t="b">
        <f t="array" ref="R223">IFERROR((INDEX('2024_Transactions'!$J$2:$J$339,MATCH(1,('2024_Draft_team'!$Q223='2024_Transactions'!$C$2:$C$339)*('2024_Draft_team'!$B223='2024_Transactions'!$B$2:$B$339)*('2024_Transactions'!$J$2:$J$339="Dropped"),0))="Dropped"),FALSE)</f>
        <v>0</v>
      </c>
    </row>
    <row r="224" ht="14.25" customHeight="1">
      <c r="A224" s="22" t="s">
        <v>1657</v>
      </c>
      <c r="B224" s="22" t="s">
        <v>8</v>
      </c>
      <c r="C224" s="22" t="s">
        <v>1658</v>
      </c>
      <c r="D224" s="22" t="s">
        <v>897</v>
      </c>
      <c r="E224" s="22" t="s">
        <v>1659</v>
      </c>
      <c r="F224" s="22">
        <v>121.0</v>
      </c>
      <c r="G224" s="22">
        <v>94.0</v>
      </c>
      <c r="H224" s="22" t="b">
        <f>(RIGHT('2024_Draft_team'!$C224,8)="(Keeper)")</f>
        <v>1</v>
      </c>
      <c r="I224" s="25" t="str">
        <f>IF(RIGHT(LEFT('2024_Draft_team'!$A224,3))="/",RIGHT(LEFT('2024_Draft_team'!$A224,2),1),RIGHT(LEFT('2024_Draft_team'!$A224,3),2))</f>
        <v>7</v>
      </c>
      <c r="J224" s="26">
        <f>IF(OR(AND(('2024_Draft_team'!$I224-4)&lt;=0,'2024_Draft_team'!$H224=TRUE),('2024_Draft_team'!$R224=TRUE)),"N/A",IF('2024_Draft_team'!$H224=TRUE,'2024_Draft_team'!$I224-4,'2024_Draft_team'!$I224-0))</f>
        <v>3</v>
      </c>
      <c r="K224" s="22" t="s">
        <v>180</v>
      </c>
      <c r="L224" s="22" t="s">
        <v>181</v>
      </c>
      <c r="M224" s="22" t="s">
        <v>567</v>
      </c>
      <c r="N224" s="22" t="s">
        <v>32</v>
      </c>
      <c r="O224" s="22" t="s">
        <v>33</v>
      </c>
      <c r="P224" s="22" t="s">
        <v>890</v>
      </c>
      <c r="Q224" s="22" t="str">
        <f>'2024_Draft_team'!$K224&amp;'2024_Draft_team'!$L224</f>
        <v>ChrisOlave</v>
      </c>
      <c r="R224" s="22" t="b">
        <f t="array" ref="R224">IFERROR((INDEX('2024_Transactions'!$J$2:$J$339,MATCH(1,('2024_Draft_team'!$Q224='2024_Transactions'!$C$2:$C$339)*('2024_Draft_team'!$B224='2024_Transactions'!$B$2:$B$339)*('2024_Transactions'!$J$2:$J$339="Dropped"),0))="Dropped"),FALSE)</f>
        <v>0</v>
      </c>
    </row>
    <row r="225" ht="14.25" customHeight="1">
      <c r="A225" s="22" t="s">
        <v>1660</v>
      </c>
      <c r="B225" s="22" t="s">
        <v>8</v>
      </c>
      <c r="C225" s="22" t="s">
        <v>1661</v>
      </c>
      <c r="D225" s="22" t="s">
        <v>897</v>
      </c>
      <c r="E225" s="22" t="s">
        <v>1662</v>
      </c>
      <c r="F225" s="22">
        <v>351.0</v>
      </c>
      <c r="G225" s="22">
        <v>304.0</v>
      </c>
      <c r="H225" s="22" t="b">
        <f>(RIGHT('2024_Draft_team'!$C225,8)="(Keeper)")</f>
        <v>1</v>
      </c>
      <c r="I225" s="25" t="str">
        <f>IF(RIGHT(LEFT('2024_Draft_team'!$A225,3))="/",RIGHT(LEFT('2024_Draft_team'!$A225,2),1),RIGHT(LEFT('2024_Draft_team'!$A225,3),2))</f>
        <v>8</v>
      </c>
      <c r="J225" s="26">
        <f>IF(OR(AND(('2024_Draft_team'!$I225-4)&lt;=0,'2024_Draft_team'!$H225=TRUE),('2024_Draft_team'!$R225=TRUE)),"N/A",IF('2024_Draft_team'!$H225=TRUE,'2024_Draft_team'!$I225-4,'2024_Draft_team'!$I225-0))</f>
        <v>4</v>
      </c>
      <c r="K225" s="22" t="s">
        <v>127</v>
      </c>
      <c r="L225" s="22" t="s">
        <v>128</v>
      </c>
      <c r="M225" s="22" t="s">
        <v>39</v>
      </c>
      <c r="N225" s="22" t="s">
        <v>32</v>
      </c>
      <c r="O225" s="22" t="s">
        <v>49</v>
      </c>
      <c r="P225" s="22" t="s">
        <v>890</v>
      </c>
      <c r="Q225" s="22" t="str">
        <f>'2024_Draft_team'!$K225&amp;'2024_Draft_team'!$L225</f>
        <v>BreeceHall</v>
      </c>
      <c r="R225" s="22" t="b">
        <f t="array" ref="R225">IFERROR((INDEX('2024_Transactions'!$J$2:$J$339,MATCH(1,('2024_Draft_team'!$Q225='2024_Transactions'!$C$2:$C$339)*('2024_Draft_team'!$B225='2024_Transactions'!$B$2:$B$339)*('2024_Transactions'!$J$2:$J$339="Dropped"),0))="Dropped"),FALSE)</f>
        <v>0</v>
      </c>
    </row>
    <row r="226" ht="14.25" customHeight="1">
      <c r="A226" s="22" t="s">
        <v>1663</v>
      </c>
      <c r="B226" s="22" t="s">
        <v>8</v>
      </c>
      <c r="C226" s="22" t="s">
        <v>1664</v>
      </c>
      <c r="D226" s="22" t="s">
        <v>897</v>
      </c>
      <c r="E226" s="22" t="s">
        <v>1665</v>
      </c>
      <c r="F226" s="22">
        <v>211.0</v>
      </c>
      <c r="G226" s="22">
        <v>211.0</v>
      </c>
      <c r="H226" s="22" t="b">
        <f>(RIGHT('2024_Draft_team'!$C226,8)="(Keeper)")</f>
        <v>1</v>
      </c>
      <c r="I226" s="25" t="str">
        <f>IF(RIGHT(LEFT('2024_Draft_team'!$A226,3))="/",RIGHT(LEFT('2024_Draft_team'!$A226,2),1),RIGHT(LEFT('2024_Draft_team'!$A226,3),2))</f>
        <v>9</v>
      </c>
      <c r="J226" s="26">
        <f>IF(OR(AND(('2024_Draft_team'!$I226-4)&lt;=0,'2024_Draft_team'!$H226=TRUE),('2024_Draft_team'!$R226=TRUE)),"N/A",IF('2024_Draft_team'!$H226=TRUE,'2024_Draft_team'!$I226-4,'2024_Draft_team'!$I226-0))</f>
        <v>5</v>
      </c>
      <c r="K226" s="22" t="s">
        <v>182</v>
      </c>
      <c r="L226" s="22" t="s">
        <v>183</v>
      </c>
      <c r="M226" s="22" t="s">
        <v>563</v>
      </c>
      <c r="N226" s="22" t="s">
        <v>32</v>
      </c>
      <c r="O226" s="22" t="s">
        <v>42</v>
      </c>
      <c r="P226" s="22" t="s">
        <v>890</v>
      </c>
      <c r="Q226" s="22" t="str">
        <f>'2024_Draft_team'!$K226&amp;'2024_Draft_team'!$L226</f>
        <v>JeremiahOwusu-Koramoah</v>
      </c>
      <c r="R226" s="22" t="b">
        <f t="array" ref="R226">IFERROR((INDEX('2024_Transactions'!$J$2:$J$339,MATCH(1,('2024_Draft_team'!$Q226='2024_Transactions'!$C$2:$C$339)*('2024_Draft_team'!$B226='2024_Transactions'!$B$2:$B$339)*('2024_Transactions'!$J$2:$J$339="Dropped"),0))="Dropped"),FALSE)</f>
        <v>0</v>
      </c>
    </row>
    <row r="227" ht="14.25" customHeight="1">
      <c r="A227" s="22" t="s">
        <v>1666</v>
      </c>
      <c r="B227" s="22" t="s">
        <v>8</v>
      </c>
      <c r="C227" s="22" t="s">
        <v>1667</v>
      </c>
      <c r="D227" s="22" t="s">
        <v>1668</v>
      </c>
      <c r="E227" s="22" t="s">
        <v>1669</v>
      </c>
      <c r="F227" s="22">
        <v>335.0</v>
      </c>
      <c r="G227" s="22">
        <v>225.0</v>
      </c>
      <c r="H227" s="22" t="b">
        <f>(RIGHT('2024_Draft_team'!$C227,8)="(Keeper)")</f>
        <v>0</v>
      </c>
      <c r="I227" s="25" t="str">
        <f>IF(RIGHT(LEFT('2024_Draft_team'!$A227,3))="/",RIGHT(LEFT('2024_Draft_team'!$A227,2),1),RIGHT(LEFT('2024_Draft_team'!$A227,3),2))</f>
        <v>10</v>
      </c>
      <c r="J227" s="26">
        <f>IF(OR(AND(('2024_Draft_team'!$I227-4)&lt;=0,'2024_Draft_team'!$H227=TRUE),('2024_Draft_team'!$R227=TRUE)),"N/A",IF('2024_Draft_team'!$H227=TRUE,'2024_Draft_team'!$I227-4,'2024_Draft_team'!$I227-0))</f>
        <v>10</v>
      </c>
      <c r="K227" s="22" t="s">
        <v>139</v>
      </c>
      <c r="L227" s="22" t="s">
        <v>140</v>
      </c>
      <c r="M227" s="22" t="s">
        <v>563</v>
      </c>
      <c r="N227" s="22" t="s">
        <v>32</v>
      </c>
      <c r="O227" s="22" t="s">
        <v>141</v>
      </c>
      <c r="P227" s="22"/>
      <c r="Q227" s="22" t="str">
        <f>'2024_Draft_team'!$K227&amp;'2024_Draft_team'!$L227</f>
        <v>JackCampbell</v>
      </c>
      <c r="R227" s="22" t="b">
        <f t="array" ref="R227">IFERROR((INDEX('2024_Transactions'!$J$2:$J$339,MATCH(1,('2024_Draft_team'!$Q227='2024_Transactions'!$C$2:$C$339)*('2024_Draft_team'!$B227='2024_Transactions'!$B$2:$B$339)*('2024_Transactions'!$J$2:$J$339="Dropped"),0))="Dropped"),FALSE)</f>
        <v>0</v>
      </c>
    </row>
    <row r="228" ht="14.25" customHeight="1">
      <c r="A228" s="22" t="s">
        <v>1670</v>
      </c>
      <c r="B228" s="22" t="s">
        <v>8</v>
      </c>
      <c r="C228" s="22" t="s">
        <v>1671</v>
      </c>
      <c r="D228" s="22" t="s">
        <v>897</v>
      </c>
      <c r="E228" s="22" t="s">
        <v>1672</v>
      </c>
      <c r="F228" s="22">
        <v>61.0</v>
      </c>
      <c r="G228" s="22">
        <v>0.0</v>
      </c>
      <c r="H228" s="22" t="b">
        <f>(RIGHT('2024_Draft_team'!$C228,8)="(Keeper)")</f>
        <v>1</v>
      </c>
      <c r="I228" s="25" t="str">
        <f>IF(RIGHT(LEFT('2024_Draft_team'!$A228,3))="/",RIGHT(LEFT('2024_Draft_team'!$A228,2),1),RIGHT(LEFT('2024_Draft_team'!$A228,3),2))</f>
        <v>11</v>
      </c>
      <c r="J228" s="26">
        <f>IF(OR(AND(('2024_Draft_team'!$I228-4)&lt;=0,'2024_Draft_team'!$H228=TRUE),('2024_Draft_team'!$R228=TRUE)),"N/A",IF('2024_Draft_team'!$H228=TRUE,'2024_Draft_team'!$I228-4,'2024_Draft_team'!$I228-0))</f>
        <v>7</v>
      </c>
      <c r="K228" s="22" t="s">
        <v>113</v>
      </c>
      <c r="L228" s="22" t="s">
        <v>171</v>
      </c>
      <c r="M228" s="22" t="s">
        <v>563</v>
      </c>
      <c r="N228" s="22" t="s">
        <v>32</v>
      </c>
      <c r="O228" s="22" t="s">
        <v>172</v>
      </c>
      <c r="P228" s="22" t="s">
        <v>890</v>
      </c>
      <c r="Q228" s="22" t="str">
        <f>'2024_Draft_team'!$K228&amp;'2024_Draft_team'!$L228</f>
        <v>ChristianHarris</v>
      </c>
      <c r="R228" s="22" t="b">
        <f t="array" ref="R228">IFERROR((INDEX('2024_Transactions'!$J$2:$J$339,MATCH(1,('2024_Draft_team'!$Q228='2024_Transactions'!$C$2:$C$339)*('2024_Draft_team'!$B228='2024_Transactions'!$B$2:$B$339)*('2024_Transactions'!$J$2:$J$339="Dropped"),0))="Dropped"),FALSE)</f>
        <v>0</v>
      </c>
    </row>
    <row r="229" ht="14.25" customHeight="1">
      <c r="A229" s="22" t="s">
        <v>1673</v>
      </c>
      <c r="B229" s="22" t="s">
        <v>8</v>
      </c>
      <c r="C229" s="22" t="s">
        <v>1674</v>
      </c>
      <c r="D229" s="22" t="s">
        <v>1675</v>
      </c>
      <c r="E229" s="22" t="s">
        <v>1676</v>
      </c>
      <c r="F229" s="22">
        <v>296.0</v>
      </c>
      <c r="G229" s="22">
        <v>128.0</v>
      </c>
      <c r="H229" s="22" t="b">
        <f>(RIGHT('2024_Draft_team'!$C229,8)="(Keeper)")</f>
        <v>0</v>
      </c>
      <c r="I229" s="25" t="str">
        <f>IF(RIGHT(LEFT('2024_Draft_team'!$A229,3))="/",RIGHT(LEFT('2024_Draft_team'!$A229,2),1),RIGHT(LEFT('2024_Draft_team'!$A229,3),2))</f>
        <v>12</v>
      </c>
      <c r="J229" s="26">
        <f>IF(OR(AND(('2024_Draft_team'!$I229-4)&lt;=0,'2024_Draft_team'!$H229=TRUE),('2024_Draft_team'!$R229=TRUE)),"N/A",IF('2024_Draft_team'!$H229=TRUE,'2024_Draft_team'!$I229-4,'2024_Draft_team'!$I229-0))</f>
        <v>12</v>
      </c>
      <c r="K229" s="22" t="s">
        <v>166</v>
      </c>
      <c r="L229" s="22" t="s">
        <v>167</v>
      </c>
      <c r="M229" s="22" t="s">
        <v>563</v>
      </c>
      <c r="N229" s="22" t="s">
        <v>32</v>
      </c>
      <c r="O229" s="22" t="s">
        <v>103</v>
      </c>
      <c r="P229" s="22"/>
      <c r="Q229" s="22" t="str">
        <f>'2024_Draft_team'!$K229&amp;'2024_Draft_team'!$L229</f>
        <v>CodyBarton</v>
      </c>
      <c r="R229" s="22" t="b">
        <f t="array" ref="R229">IFERROR((INDEX('2024_Transactions'!$J$2:$J$339,MATCH(1,('2024_Draft_team'!$Q229='2024_Transactions'!$C$2:$C$339)*('2024_Draft_team'!$B229='2024_Transactions'!$B$2:$B$339)*('2024_Transactions'!$J$2:$J$339="Dropped"),0))="Dropped"),FALSE)</f>
        <v>0</v>
      </c>
    </row>
    <row r="230" ht="14.25" customHeight="1">
      <c r="A230" s="22" t="s">
        <v>1677</v>
      </c>
      <c r="B230" s="22" t="s">
        <v>8</v>
      </c>
      <c r="C230" s="22" t="s">
        <v>1678</v>
      </c>
      <c r="D230" s="22" t="s">
        <v>897</v>
      </c>
      <c r="E230" s="22" t="s">
        <v>1679</v>
      </c>
      <c r="F230" s="22">
        <v>310.0</v>
      </c>
      <c r="G230" s="22">
        <v>12.0</v>
      </c>
      <c r="H230" s="22" t="b">
        <f>(RIGHT('2024_Draft_team'!$C230,8)="(Keeper)")</f>
        <v>1</v>
      </c>
      <c r="I230" s="25" t="str">
        <f>IF(RIGHT(LEFT('2024_Draft_team'!$A230,3))="/",RIGHT(LEFT('2024_Draft_team'!$A230,2),1),RIGHT(LEFT('2024_Draft_team'!$A230,3),2))</f>
        <v>13</v>
      </c>
      <c r="J230" s="26" t="str">
        <f>IF(OR(AND(('2024_Draft_team'!$I230-4)&lt;=0,'2024_Draft_team'!$H230=TRUE),('2024_Draft_team'!$R230=TRUE)),"N/A",IF('2024_Draft_team'!$H230=TRUE,'2024_Draft_team'!$I230-4,'2024_Draft_team'!$I230-0))</f>
        <v>N/A</v>
      </c>
      <c r="K230" s="22" t="s">
        <v>445</v>
      </c>
      <c r="L230" s="22" t="s">
        <v>94</v>
      </c>
      <c r="M230" s="22" t="s">
        <v>567</v>
      </c>
      <c r="N230" s="22" t="s">
        <v>32</v>
      </c>
      <c r="O230" s="22" t="s">
        <v>66</v>
      </c>
      <c r="P230" s="22" t="s">
        <v>890</v>
      </c>
      <c r="Q230" s="22" t="str">
        <f>'2024_Draft_team'!$K230&amp;'2024_Draft_team'!$L230</f>
        <v>KeenanAllen</v>
      </c>
      <c r="R230" s="22" t="b">
        <f t="array" ref="R230">IFERROR((INDEX('2024_Transactions'!$J$2:$J$339,MATCH(1,('2024_Draft_team'!$Q230='2024_Transactions'!$C$2:$C$339)*('2024_Draft_team'!$B230='2024_Transactions'!$B$2:$B$339)*('2024_Transactions'!$J$2:$J$339="Dropped"),0))="Dropped"),FALSE)</f>
        <v>1</v>
      </c>
    </row>
    <row r="231" ht="14.25" customHeight="1">
      <c r="A231" s="22" t="s">
        <v>1680</v>
      </c>
      <c r="B231" s="22" t="s">
        <v>8</v>
      </c>
      <c r="C231" s="22" t="s">
        <v>1681</v>
      </c>
      <c r="D231" s="22" t="s">
        <v>897</v>
      </c>
      <c r="E231" s="22" t="s">
        <v>1682</v>
      </c>
      <c r="F231" s="22">
        <v>94.0</v>
      </c>
      <c r="G231" s="22">
        <v>70.0</v>
      </c>
      <c r="H231" s="22" t="b">
        <f>(RIGHT('2024_Draft_team'!$C231,8)="(Keeper)")</f>
        <v>1</v>
      </c>
      <c r="I231" s="25" t="str">
        <f>IF(RIGHT(LEFT('2024_Draft_team'!$A231,3))="/",RIGHT(LEFT('2024_Draft_team'!$A231,2),1),RIGHT(LEFT('2024_Draft_team'!$A231,3),2))</f>
        <v>14</v>
      </c>
      <c r="J231" s="26">
        <f>IF(OR(AND(('2024_Draft_team'!$I231-4)&lt;=0,'2024_Draft_team'!$H231=TRUE),('2024_Draft_team'!$R231=TRUE)),"N/A",IF('2024_Draft_team'!$H231=TRUE,'2024_Draft_team'!$I231-4,'2024_Draft_team'!$I231-0))</f>
        <v>10</v>
      </c>
      <c r="K231" s="22" t="s">
        <v>156</v>
      </c>
      <c r="L231" s="22" t="s">
        <v>157</v>
      </c>
      <c r="M231" s="22" t="s">
        <v>39</v>
      </c>
      <c r="N231" s="22" t="s">
        <v>32</v>
      </c>
      <c r="O231" s="22" t="s">
        <v>90</v>
      </c>
      <c r="P231" s="22" t="s">
        <v>890</v>
      </c>
      <c r="Q231" s="22" t="str">
        <f>'2024_Draft_team'!$K231&amp;'2024_Draft_team'!$L231</f>
        <v>IsiahPacheco</v>
      </c>
      <c r="R231" s="22" t="b">
        <f t="array" ref="R231">IFERROR((INDEX('2024_Transactions'!$J$2:$J$339,MATCH(1,('2024_Draft_team'!$Q231='2024_Transactions'!$C$2:$C$339)*('2024_Draft_team'!$B231='2024_Transactions'!$B$2:$B$339)*('2024_Transactions'!$J$2:$J$339="Dropped"),0))="Dropped"),FALSE)</f>
        <v>0</v>
      </c>
    </row>
    <row r="232" ht="14.25" customHeight="1">
      <c r="A232" s="22" t="s">
        <v>1683</v>
      </c>
      <c r="B232" s="22" t="s">
        <v>8</v>
      </c>
      <c r="C232" s="22" t="s">
        <v>1684</v>
      </c>
      <c r="D232" s="22" t="s">
        <v>897</v>
      </c>
      <c r="E232" s="22" t="s">
        <v>1685</v>
      </c>
      <c r="F232" s="22">
        <v>189.0</v>
      </c>
      <c r="G232" s="22">
        <v>66.0</v>
      </c>
      <c r="H232" s="22" t="b">
        <f>(RIGHT('2024_Draft_team'!$C232,8)="(Keeper)")</f>
        <v>1</v>
      </c>
      <c r="I232" s="25" t="str">
        <f>IF(RIGHT(LEFT('2024_Draft_team'!$A232,3))="/",RIGHT(LEFT('2024_Draft_team'!$A232,2),1),RIGHT(LEFT('2024_Draft_team'!$A232,3),2))</f>
        <v>15</v>
      </c>
      <c r="J232" s="26" t="str">
        <f>IF(OR(AND(('2024_Draft_team'!$I232-4)&lt;=0,'2024_Draft_team'!$H232=TRUE),('2024_Draft_team'!$R232=TRUE)),"N/A",IF('2024_Draft_team'!$H232=TRUE,'2024_Draft_team'!$I232-4,'2024_Draft_team'!$I232-0))</f>
        <v>N/A</v>
      </c>
      <c r="K232" s="22" t="s">
        <v>835</v>
      </c>
      <c r="L232" s="22" t="s">
        <v>836</v>
      </c>
      <c r="M232" s="22" t="s">
        <v>29</v>
      </c>
      <c r="N232" s="22" t="s">
        <v>32</v>
      </c>
      <c r="O232" s="22" t="s">
        <v>42</v>
      </c>
      <c r="P232" s="22" t="s">
        <v>890</v>
      </c>
      <c r="Q232" s="22" t="str">
        <f>'2024_Draft_team'!$K232&amp;'2024_Draft_team'!$L232</f>
        <v>DeshaunWatson</v>
      </c>
      <c r="R232" s="22" t="b">
        <f t="array" ref="R232">IFERROR((INDEX('2024_Transactions'!$J$2:$J$339,MATCH(1,('2024_Draft_team'!$Q232='2024_Transactions'!$C$2:$C$339)*('2024_Draft_team'!$B232='2024_Transactions'!$B$2:$B$339)*('2024_Transactions'!$J$2:$J$339="Dropped"),0))="Dropped"),FALSE)</f>
        <v>1</v>
      </c>
    </row>
    <row r="233" ht="14.25" customHeight="1">
      <c r="A233" s="22" t="s">
        <v>1686</v>
      </c>
      <c r="B233" s="22" t="s">
        <v>8</v>
      </c>
      <c r="C233" s="22" t="s">
        <v>1687</v>
      </c>
      <c r="D233" s="22" t="s">
        <v>1688</v>
      </c>
      <c r="E233" s="22" t="s">
        <v>1689</v>
      </c>
      <c r="F233" s="22">
        <v>210.0</v>
      </c>
      <c r="G233" s="22">
        <v>14.0</v>
      </c>
      <c r="H233" s="22" t="b">
        <f>(RIGHT('2024_Draft_team'!$C233,8)="(Keeper)")</f>
        <v>0</v>
      </c>
      <c r="I233" s="25" t="str">
        <f>IF(RIGHT(LEFT('2024_Draft_team'!$A233,3))="/",RIGHT(LEFT('2024_Draft_team'!$A233,2),1),RIGHT(LEFT('2024_Draft_team'!$A233,3),2))</f>
        <v>16</v>
      </c>
      <c r="J233" s="26">
        <f>IF(OR(AND(('2024_Draft_team'!$I233-4)&lt;=0,'2024_Draft_team'!$H233=TRUE),('2024_Draft_team'!$R233=TRUE)),"N/A",IF('2024_Draft_team'!$H233=TRUE,'2024_Draft_team'!$I233-4,'2024_Draft_team'!$I233-0))</f>
        <v>16</v>
      </c>
      <c r="K233" s="22" t="s">
        <v>162</v>
      </c>
      <c r="L233" s="22" t="s">
        <v>163</v>
      </c>
      <c r="M233" s="22" t="s">
        <v>650</v>
      </c>
      <c r="N233" s="22" t="s">
        <v>32</v>
      </c>
      <c r="O233" s="22" t="s">
        <v>93</v>
      </c>
      <c r="P233" s="22"/>
      <c r="Q233" s="22" t="str">
        <f>'2024_Draft_team'!$K233&amp;'2024_Draft_team'!$L233</f>
        <v>DaltonKincaid</v>
      </c>
      <c r="R233" s="22" t="b">
        <f t="array" ref="R233">IFERROR((INDEX('2024_Transactions'!$J$2:$J$339,MATCH(1,('2024_Draft_team'!$Q233='2024_Transactions'!$C$2:$C$339)*('2024_Draft_team'!$B233='2024_Transactions'!$B$2:$B$339)*('2024_Transactions'!$J$2:$J$339="Dropped"),0))="Dropped"),FALSE)</f>
        <v>0</v>
      </c>
    </row>
    <row r="234" ht="14.25" customHeight="1">
      <c r="A234" s="22" t="s">
        <v>1690</v>
      </c>
      <c r="B234" s="22" t="s">
        <v>8</v>
      </c>
      <c r="C234" s="22" t="s">
        <v>1691</v>
      </c>
      <c r="D234" s="22" t="s">
        <v>1692</v>
      </c>
      <c r="E234" s="22" t="s">
        <v>1693</v>
      </c>
      <c r="F234" s="22">
        <v>189.0</v>
      </c>
      <c r="G234" s="22">
        <v>113.0</v>
      </c>
      <c r="H234" s="22" t="b">
        <f>(RIGHT('2024_Draft_team'!$C234,8)="(Keeper)")</f>
        <v>0</v>
      </c>
      <c r="I234" s="25" t="str">
        <f>IF(RIGHT(LEFT('2024_Draft_team'!$A234,3))="/",RIGHT(LEFT('2024_Draft_team'!$A234,2),1),RIGHT(LEFT('2024_Draft_team'!$A234,3),2))</f>
        <v>17</v>
      </c>
      <c r="J234" s="26">
        <f>IF(OR(AND(('2024_Draft_team'!$I234-4)&lt;=0,'2024_Draft_team'!$H234=TRUE),('2024_Draft_team'!$R234=TRUE)),"N/A",IF('2024_Draft_team'!$H234=TRUE,'2024_Draft_team'!$I234-4,'2024_Draft_team'!$I234-0))</f>
        <v>17</v>
      </c>
      <c r="K234" s="22" t="s">
        <v>177</v>
      </c>
      <c r="L234" s="22" t="s">
        <v>178</v>
      </c>
      <c r="M234" s="22" t="s">
        <v>563</v>
      </c>
      <c r="N234" s="22" t="s">
        <v>32</v>
      </c>
      <c r="O234" s="22" t="s">
        <v>179</v>
      </c>
      <c r="P234" s="22"/>
      <c r="Q234" s="22" t="str">
        <f>'2024_Draft_team'!$K234&amp;'2024_Draft_team'!$L234</f>
        <v>TrentonSimpson</v>
      </c>
      <c r="R234" s="22" t="b">
        <f t="array" ref="R234">IFERROR((INDEX('2024_Transactions'!$J$2:$J$339,MATCH(1,('2024_Draft_team'!$Q234='2024_Transactions'!$C$2:$C$339)*('2024_Draft_team'!$B234='2024_Transactions'!$B$2:$B$339)*('2024_Transactions'!$J$2:$J$339="Dropped"),0))="Dropped"),FALSE)</f>
        <v>0</v>
      </c>
    </row>
    <row r="235" ht="14.25" customHeight="1">
      <c r="A235" s="22" t="s">
        <v>1694</v>
      </c>
      <c r="B235" s="22" t="s">
        <v>8</v>
      </c>
      <c r="C235" s="22" t="s">
        <v>1695</v>
      </c>
      <c r="D235" s="22" t="s">
        <v>897</v>
      </c>
      <c r="E235" s="22" t="s">
        <v>1696</v>
      </c>
      <c r="F235" s="22">
        <v>309.0</v>
      </c>
      <c r="G235" s="22">
        <v>69.0</v>
      </c>
      <c r="H235" s="22" t="b">
        <f>(RIGHT('2024_Draft_team'!$C235,8)="(Keeper)")</f>
        <v>1</v>
      </c>
      <c r="I235" s="25" t="str">
        <f>IF(RIGHT(LEFT('2024_Draft_team'!$A235,3))="/",RIGHT(LEFT('2024_Draft_team'!$A235,2),1),RIGHT(LEFT('2024_Draft_team'!$A235,3),2))</f>
        <v>18</v>
      </c>
      <c r="J235" s="26">
        <f>IF(OR(AND(('2024_Draft_team'!$I235-4)&lt;=0,'2024_Draft_team'!$H235=TRUE),('2024_Draft_team'!$R235=TRUE)),"N/A",IF('2024_Draft_team'!$H235=TRUE,'2024_Draft_team'!$I235-4,'2024_Draft_team'!$I235-0))</f>
        <v>14</v>
      </c>
      <c r="K235" s="22" t="s">
        <v>158</v>
      </c>
      <c r="L235" s="22" t="s">
        <v>159</v>
      </c>
      <c r="M235" s="22" t="s">
        <v>131</v>
      </c>
      <c r="N235" s="22" t="s">
        <v>39</v>
      </c>
      <c r="O235" s="22" t="s">
        <v>32</v>
      </c>
      <c r="P235" s="22" t="s">
        <v>98</v>
      </c>
      <c r="Q235" s="22" t="str">
        <f>'2024_Draft_team'!$K235&amp;'2024_Draft_team'!$L235&amp;'2024_Draft_team'!$M235</f>
        <v>BrianRobinsonJr.</v>
      </c>
      <c r="R235" s="22" t="b">
        <f t="array" ref="R235">IFERROR((INDEX('2024_Transactions'!$J$2:$J$339,MATCH(1,('2024_Draft_team'!$Q235='2024_Transactions'!$C$2:$C$339)*('2024_Draft_team'!$B235='2024_Transactions'!$B$2:$B$339)*('2024_Transactions'!$J$2:$J$339="Dropped"),0))="Dropped"),FALSE)</f>
        <v>0</v>
      </c>
    </row>
    <row r="236" ht="14.25" customHeight="1">
      <c r="A236" s="22" t="s">
        <v>1697</v>
      </c>
      <c r="B236" s="22" t="s">
        <v>8</v>
      </c>
      <c r="C236" s="22" t="s">
        <v>1698</v>
      </c>
      <c r="D236" s="22" t="s">
        <v>1699</v>
      </c>
      <c r="E236" s="22" t="s">
        <v>1700</v>
      </c>
      <c r="F236" s="22">
        <v>227.0</v>
      </c>
      <c r="G236" s="22">
        <v>215.0</v>
      </c>
      <c r="H236" s="22" t="b">
        <f>(RIGHT('2024_Draft_team'!$C236,8)="(Keeper)")</f>
        <v>0</v>
      </c>
      <c r="I236" s="25" t="str">
        <f>IF(RIGHT(LEFT('2024_Draft_team'!$A236,3))="/",RIGHT(LEFT('2024_Draft_team'!$A236,2),1),RIGHT(LEFT('2024_Draft_team'!$A236,3),2))</f>
        <v>19</v>
      </c>
      <c r="J236" s="26" t="str">
        <f>IF(OR(AND(('2024_Draft_team'!$I236-4)&lt;=0,'2024_Draft_team'!$H236=TRUE),('2024_Draft_team'!$R236=TRUE)),"N/A",IF('2024_Draft_team'!$H236=TRUE,'2024_Draft_team'!$I236-4,'2024_Draft_team'!$I236-0))</f>
        <v>N/A</v>
      </c>
      <c r="K236" s="22" t="s">
        <v>137</v>
      </c>
      <c r="L236" s="22" t="s">
        <v>138</v>
      </c>
      <c r="M236" s="22" t="s">
        <v>55</v>
      </c>
      <c r="N236" s="22" t="s">
        <v>32</v>
      </c>
      <c r="O236" s="22" t="s">
        <v>63</v>
      </c>
      <c r="P236" s="22"/>
      <c r="Q236" s="22" t="str">
        <f>'2024_Draft_team'!$K236&amp;'2024_Draft_team'!$L236</f>
        <v>YounghoeKoo</v>
      </c>
      <c r="R236" s="22" t="b">
        <f t="array" ref="R236">IFERROR((INDEX('2024_Transactions'!$J$2:$J$339,MATCH(1,('2024_Draft_team'!$Q236='2024_Transactions'!$C$2:$C$339)*('2024_Draft_team'!$B236='2024_Transactions'!$B$2:$B$339)*('2024_Transactions'!$J$2:$J$339="Dropped"),0))="Dropped"),FALSE)</f>
        <v>1</v>
      </c>
    </row>
    <row r="237" ht="14.25" customHeight="1">
      <c r="A237" s="22" t="s">
        <v>1701</v>
      </c>
      <c r="B237" s="22" t="s">
        <v>8</v>
      </c>
      <c r="C237" s="22" t="s">
        <v>1702</v>
      </c>
      <c r="D237" s="22" t="s">
        <v>1703</v>
      </c>
      <c r="E237" s="22" t="s">
        <v>1704</v>
      </c>
      <c r="F237" s="22">
        <v>155.0</v>
      </c>
      <c r="G237" s="22">
        <v>10.0</v>
      </c>
      <c r="H237" s="22" t="b">
        <f>(RIGHT('2024_Draft_team'!$C237,8)="(Keeper)")</f>
        <v>0</v>
      </c>
      <c r="I237" s="25" t="str">
        <f>IF(RIGHT(LEFT('2024_Draft_team'!$A237,3))="/",RIGHT(LEFT('2024_Draft_team'!$A237,2),1),RIGHT(LEFT('2024_Draft_team'!$A237,3),2))</f>
        <v>20</v>
      </c>
      <c r="J237" s="26" t="str">
        <f>IF(OR(AND(('2024_Draft_team'!$I237-4)&lt;=0,'2024_Draft_team'!$H237=TRUE),('2024_Draft_team'!$R237=TRUE)),"N/A",IF('2024_Draft_team'!$H237=TRUE,'2024_Draft_team'!$I237-4,'2024_Draft_team'!$I237-0))</f>
        <v>N/A</v>
      </c>
      <c r="K237" s="22" t="s">
        <v>787</v>
      </c>
      <c r="L237" s="22" t="s">
        <v>788</v>
      </c>
      <c r="M237" s="22" t="s">
        <v>563</v>
      </c>
      <c r="N237" s="22" t="s">
        <v>32</v>
      </c>
      <c r="O237" s="22" t="s">
        <v>76</v>
      </c>
      <c r="P237" s="22"/>
      <c r="Q237" s="22" t="str">
        <f>'2024_Draft_team'!$K237&amp;'2024_Draft_team'!$L237</f>
        <v>DivineDeablo</v>
      </c>
      <c r="R237" s="22" t="b">
        <f t="array" ref="R237">IFERROR((INDEX('2024_Transactions'!$J$2:$J$339,MATCH(1,('2024_Draft_team'!$Q237='2024_Transactions'!$C$2:$C$339)*('2024_Draft_team'!$B237='2024_Transactions'!$B$2:$B$339)*('2024_Transactions'!$J$2:$J$339="Dropped"),0))="Dropped"),FALSE)</f>
        <v>1</v>
      </c>
    </row>
    <row r="238" ht="14.25" customHeight="1">
      <c r="A238" s="22" t="s">
        <v>1705</v>
      </c>
      <c r="B238" s="22" t="s">
        <v>8</v>
      </c>
      <c r="C238" s="22" t="s">
        <v>1706</v>
      </c>
      <c r="D238" s="22" t="s">
        <v>897</v>
      </c>
      <c r="E238" s="22" t="s">
        <v>1707</v>
      </c>
      <c r="F238" s="22">
        <v>41.0</v>
      </c>
      <c r="G238" s="22">
        <v>5.0</v>
      </c>
      <c r="H238" s="22" t="b">
        <f>(RIGHT('2024_Draft_team'!$C238,8)="(Keeper)")</f>
        <v>1</v>
      </c>
      <c r="I238" s="25" t="str">
        <f>IF(RIGHT(LEFT('2024_Draft_team'!$A238,3))="/",RIGHT(LEFT('2024_Draft_team'!$A238,2),1),RIGHT(LEFT('2024_Draft_team'!$A238,3),2))</f>
        <v>21</v>
      </c>
      <c r="J238" s="26" t="str">
        <f>IF(OR(AND(('2024_Draft_team'!$I238-4)&lt;=0,'2024_Draft_team'!$H238=TRUE),('2024_Draft_team'!$R238=TRUE)),"N/A",IF('2024_Draft_team'!$H238=TRUE,'2024_Draft_team'!$I238-4,'2024_Draft_team'!$I238-0))</f>
        <v>N/A</v>
      </c>
      <c r="K238" s="22" t="s">
        <v>406</v>
      </c>
      <c r="L238" s="22" t="s">
        <v>407</v>
      </c>
      <c r="M238" s="22" t="s">
        <v>39</v>
      </c>
      <c r="N238" s="22" t="s">
        <v>32</v>
      </c>
      <c r="O238" s="22" t="s">
        <v>33</v>
      </c>
      <c r="P238" s="22" t="s">
        <v>890</v>
      </c>
      <c r="Q238" s="22" t="str">
        <f>'2024_Draft_team'!$K238&amp;'2024_Draft_team'!$L238</f>
        <v>KendreMiller</v>
      </c>
      <c r="R238" s="22" t="b">
        <f t="array" ref="R238">IFERROR((INDEX('2024_Transactions'!$J$2:$J$339,MATCH(1,('2024_Draft_team'!$Q238='2024_Transactions'!$C$2:$C$339)*('2024_Draft_team'!$B238='2024_Transactions'!$B$2:$B$339)*('2024_Transactions'!$J$2:$J$339="Dropped"),0))="Dropped"),FALSE)</f>
        <v>1</v>
      </c>
    </row>
    <row r="239" ht="14.25" customHeight="1">
      <c r="A239" s="22" t="s">
        <v>1708</v>
      </c>
      <c r="B239" s="22" t="s">
        <v>8</v>
      </c>
      <c r="C239" s="22" t="s">
        <v>1709</v>
      </c>
      <c r="D239" s="22" t="s">
        <v>1710</v>
      </c>
      <c r="E239" s="22" t="s">
        <v>1711</v>
      </c>
      <c r="F239" s="22">
        <v>744.0</v>
      </c>
      <c r="G239" s="22">
        <v>488.0</v>
      </c>
      <c r="H239" s="22" t="b">
        <f>(RIGHT('2024_Draft_team'!$C239,8)="(Keeper)")</f>
        <v>0</v>
      </c>
      <c r="I239" s="25" t="str">
        <f>IF(RIGHT(LEFT('2024_Draft_team'!$A239,3))="/",RIGHT(LEFT('2024_Draft_team'!$A239,2),1),RIGHT(LEFT('2024_Draft_team'!$A239,3),2))</f>
        <v>22</v>
      </c>
      <c r="J239" s="26">
        <f>IF(OR(AND(('2024_Draft_team'!$I239-4)&lt;=0,'2024_Draft_team'!$H239=TRUE),('2024_Draft_team'!$R239=TRUE)),"N/A",IF('2024_Draft_team'!$H239=TRUE,'2024_Draft_team'!$I239-4,'2024_Draft_team'!$I239-0))</f>
        <v>22</v>
      </c>
      <c r="K239" s="22" t="s">
        <v>125</v>
      </c>
      <c r="L239" s="22" t="s">
        <v>126</v>
      </c>
      <c r="M239" s="22" t="s">
        <v>29</v>
      </c>
      <c r="N239" s="22" t="s">
        <v>32</v>
      </c>
      <c r="O239" s="22" t="s">
        <v>103</v>
      </c>
      <c r="P239" s="22"/>
      <c r="Q239" s="22" t="str">
        <f>'2024_Draft_team'!$K239&amp;'2024_Draft_team'!$L239</f>
        <v>BoNix</v>
      </c>
      <c r="R239" s="22" t="b">
        <f t="array" ref="R239">IFERROR((INDEX('2024_Transactions'!$J$2:$J$339,MATCH(1,('2024_Draft_team'!$Q239='2024_Transactions'!$C$2:$C$339)*('2024_Draft_team'!$B239='2024_Transactions'!$B$2:$B$339)*('2024_Transactions'!$J$2:$J$339="Dropped"),0))="Dropped"),FALSE)</f>
        <v>0</v>
      </c>
    </row>
    <row r="240" ht="14.25" customHeight="1">
      <c r="A240" s="22" t="s">
        <v>1712</v>
      </c>
      <c r="B240" s="22" t="s">
        <v>8</v>
      </c>
      <c r="C240" s="22" t="s">
        <v>1713</v>
      </c>
      <c r="D240" s="22" t="s">
        <v>1714</v>
      </c>
      <c r="E240" s="22" t="s">
        <v>1715</v>
      </c>
      <c r="F240" s="22">
        <v>400.0</v>
      </c>
      <c r="G240" s="22">
        <v>328.0</v>
      </c>
      <c r="H240" s="22" t="b">
        <f>(RIGHT('2024_Draft_team'!$C240,8)="(Keeper)")</f>
        <v>0</v>
      </c>
      <c r="I240" s="25" t="str">
        <f>IF(RIGHT(LEFT('2024_Draft_team'!$A240,3))="/",RIGHT(LEFT('2024_Draft_team'!$A240,2),1),RIGHT(LEFT('2024_Draft_team'!$A240,3),2))</f>
        <v>23</v>
      </c>
      <c r="J240" s="26">
        <f>IF(OR(AND(('2024_Draft_team'!$I240-4)&lt;=0,'2024_Draft_team'!$H240=TRUE),('2024_Draft_team'!$R240=TRUE)),"N/A",IF('2024_Draft_team'!$H240=TRUE,'2024_Draft_team'!$I240-4,'2024_Draft_team'!$I240-0))</f>
        <v>23</v>
      </c>
      <c r="K240" s="22" t="s">
        <v>35</v>
      </c>
      <c r="L240" s="22" t="s">
        <v>132</v>
      </c>
      <c r="M240" s="22" t="s">
        <v>650</v>
      </c>
      <c r="N240" s="22" t="s">
        <v>32</v>
      </c>
      <c r="O240" s="22" t="s">
        <v>76</v>
      </c>
      <c r="P240" s="22"/>
      <c r="Q240" s="22" t="str">
        <f>'2024_Draft_team'!$K240&amp;'2024_Draft_team'!$L240</f>
        <v>BrockBowers</v>
      </c>
      <c r="R240" s="22" t="b">
        <f t="array" ref="R240">IFERROR((INDEX('2024_Transactions'!$J$2:$J$339,MATCH(1,('2024_Draft_team'!$Q240='2024_Transactions'!$C$2:$C$339)*('2024_Draft_team'!$B240='2024_Transactions'!$B$2:$B$339)*('2024_Transactions'!$J$2:$J$339="Dropped"),0))="Dropped"),FALSE)</f>
        <v>0</v>
      </c>
    </row>
    <row r="241" ht="14.25" customHeight="1">
      <c r="A241" s="22" t="s">
        <v>1716</v>
      </c>
      <c r="B241" s="22" t="s">
        <v>8</v>
      </c>
      <c r="C241" s="22" t="s">
        <v>1717</v>
      </c>
      <c r="D241" s="22" t="s">
        <v>897</v>
      </c>
      <c r="E241" s="22" t="s">
        <v>1718</v>
      </c>
      <c r="F241" s="22">
        <v>392.0</v>
      </c>
      <c r="G241" s="22">
        <v>233.0</v>
      </c>
      <c r="H241" s="22" t="b">
        <f>(RIGHT('2024_Draft_team'!$C241,8)="(Keeper)")</f>
        <v>1</v>
      </c>
      <c r="I241" s="25" t="str">
        <f>IF(RIGHT(LEFT('2024_Draft_team'!$A241,3))="/",RIGHT(LEFT('2024_Draft_team'!$A241,2),1),RIGHT(LEFT('2024_Draft_team'!$A241,3),2))</f>
        <v>24</v>
      </c>
      <c r="J241" s="26">
        <f>IF(OR(AND(('2024_Draft_team'!$I241-4)&lt;=0,'2024_Draft_team'!$H241=TRUE),('2024_Draft_team'!$R241=TRUE)),"N/A",IF('2024_Draft_team'!$H241=TRUE,'2024_Draft_team'!$I241-4,'2024_Draft_team'!$I241-0))</f>
        <v>20</v>
      </c>
      <c r="K241" s="22" t="s">
        <v>144</v>
      </c>
      <c r="L241" s="22" t="s">
        <v>145</v>
      </c>
      <c r="M241" s="22" t="s">
        <v>563</v>
      </c>
      <c r="N241" s="22" t="s">
        <v>32</v>
      </c>
      <c r="O241" s="22" t="s">
        <v>54</v>
      </c>
      <c r="P241" s="22" t="s">
        <v>890</v>
      </c>
      <c r="Q241" s="22" t="str">
        <f>'2024_Draft_team'!$K241&amp;'2024_Draft_team'!$L241</f>
        <v>DaiyanHenley</v>
      </c>
      <c r="R241" s="22" t="b">
        <f t="array" ref="R241">IFERROR((INDEX('2024_Transactions'!$J$2:$J$339,MATCH(1,('2024_Draft_team'!$Q241='2024_Transactions'!$C$2:$C$339)*('2024_Draft_team'!$B241='2024_Transactions'!$B$2:$B$339)*('2024_Transactions'!$J$2:$J$339="Dropped"),0))="Dropped"),FALSE)</f>
        <v>0</v>
      </c>
    </row>
    <row r="242" ht="14.25" customHeight="1">
      <c r="A242" s="22" t="s">
        <v>1719</v>
      </c>
      <c r="B242" s="22" t="s">
        <v>8</v>
      </c>
      <c r="C242" s="22" t="s">
        <v>1720</v>
      </c>
      <c r="D242" s="22" t="s">
        <v>1721</v>
      </c>
      <c r="E242" s="22" t="s">
        <v>1722</v>
      </c>
      <c r="F242" s="22">
        <v>273.0</v>
      </c>
      <c r="G242" s="22">
        <v>113.0</v>
      </c>
      <c r="H242" s="22" t="b">
        <f>(RIGHT('2024_Draft_team'!$C242,8)="(Keeper)")</f>
        <v>0</v>
      </c>
      <c r="I242" s="25" t="str">
        <f>IF(RIGHT(LEFT('2024_Draft_team'!$A242,3))="/",RIGHT(LEFT('2024_Draft_team'!$A242,2),1),RIGHT(LEFT('2024_Draft_team'!$A242,3),2))</f>
        <v>25</v>
      </c>
      <c r="J242" s="26">
        <f>IF(OR(AND(('2024_Draft_team'!$I242-4)&lt;=0,'2024_Draft_team'!$H242=TRUE),('2024_Draft_team'!$R242=TRUE)),"N/A",IF('2024_Draft_team'!$H242=TRUE,'2024_Draft_team'!$I242-4,'2024_Draft_team'!$I242-0))</f>
        <v>25</v>
      </c>
      <c r="K242" s="22" t="s">
        <v>129</v>
      </c>
      <c r="L242" s="22" t="s">
        <v>130</v>
      </c>
      <c r="M242" s="22" t="s">
        <v>131</v>
      </c>
      <c r="N242" s="22" t="s">
        <v>39</v>
      </c>
      <c r="O242" s="22" t="s">
        <v>32</v>
      </c>
      <c r="P242" s="22" t="s">
        <v>82</v>
      </c>
      <c r="Q242" s="22" t="str">
        <f>'2024_Draft_team'!$K242&amp;'2024_Draft_team'!$L242&amp;'2024_Draft_team'!$M242</f>
        <v>TyroneTracyJr.</v>
      </c>
      <c r="R242" s="22" t="b">
        <f t="array" ref="R242">IFERROR((INDEX('2024_Transactions'!$J$2:$J$339,MATCH(1,('2024_Draft_team'!$Q242='2024_Transactions'!$C$2:$C$339)*('2024_Draft_team'!$B242='2024_Transactions'!$B$2:$B$339)*('2024_Transactions'!$J$2:$J$339="Dropped"),0))="Dropped"),FALSE)</f>
        <v>0</v>
      </c>
    </row>
    <row r="243" ht="14.25" customHeight="1">
      <c r="A243" s="22" t="s">
        <v>1723</v>
      </c>
      <c r="B243" s="22" t="s">
        <v>8</v>
      </c>
      <c r="C243" s="22" t="s">
        <v>1724</v>
      </c>
      <c r="D243" s="22" t="s">
        <v>1725</v>
      </c>
      <c r="E243" s="22" t="s">
        <v>1726</v>
      </c>
      <c r="F243" s="22">
        <v>229.0</v>
      </c>
      <c r="G243" s="22">
        <v>0.0</v>
      </c>
      <c r="H243" s="22" t="b">
        <f>(RIGHT('2024_Draft_team'!$C243,8)="(Keeper)")</f>
        <v>0</v>
      </c>
      <c r="I243" s="25" t="str">
        <f>IF(RIGHT(LEFT('2024_Draft_team'!$A243,3))="/",RIGHT(LEFT('2024_Draft_team'!$A243,2),1),RIGHT(LEFT('2024_Draft_team'!$A243,3),2))</f>
        <v>26</v>
      </c>
      <c r="J243" s="26" t="str">
        <f>IF(OR(AND(('2024_Draft_team'!$I243-4)&lt;=0,'2024_Draft_team'!$H243=TRUE),('2024_Draft_team'!$R243=TRUE)),"N/A",IF('2024_Draft_team'!$H243=TRUE,'2024_Draft_team'!$I243-4,'2024_Draft_team'!$I243-0))</f>
        <v>N/A</v>
      </c>
      <c r="K243" s="22" t="s">
        <v>599</v>
      </c>
      <c r="L243" s="22" t="s">
        <v>600</v>
      </c>
      <c r="M243" s="22" t="s">
        <v>563</v>
      </c>
      <c r="N243" s="22" t="s">
        <v>32</v>
      </c>
      <c r="O243" s="22" t="s">
        <v>179</v>
      </c>
      <c r="P243" s="22"/>
      <c r="Q243" s="22" t="str">
        <f>'2024_Draft_team'!$K243&amp;'2024_Draft_team'!$L243</f>
        <v>OdafeOweh</v>
      </c>
      <c r="R243" s="22" t="b">
        <f t="array" ref="R243">IFERROR((INDEX('2024_Transactions'!$J$2:$J$339,MATCH(1,('2024_Draft_team'!$Q243='2024_Transactions'!$C$2:$C$339)*('2024_Draft_team'!$B243='2024_Transactions'!$B$2:$B$339)*('2024_Transactions'!$J$2:$J$339="Dropped"),0))="Dropped"),FALSE)</f>
        <v>1</v>
      </c>
    </row>
    <row r="244" ht="14.25" customHeight="1">
      <c r="A244" s="22" t="s">
        <v>1727</v>
      </c>
      <c r="B244" s="22" t="s">
        <v>8</v>
      </c>
      <c r="C244" s="22" t="s">
        <v>1728</v>
      </c>
      <c r="D244" s="22" t="s">
        <v>1729</v>
      </c>
      <c r="E244" s="22" t="s">
        <v>1730</v>
      </c>
      <c r="F244" s="22">
        <v>359.0</v>
      </c>
      <c r="G244" s="22">
        <v>67.0</v>
      </c>
      <c r="H244" s="22" t="b">
        <f>(RIGHT('2024_Draft_team'!$C244,8)="(Keeper)")</f>
        <v>0</v>
      </c>
      <c r="I244" s="25" t="str">
        <f>IF(RIGHT(LEFT('2024_Draft_team'!$A244,3))="/",RIGHT(LEFT('2024_Draft_team'!$A244,2),1),RIGHT(LEFT('2024_Draft_team'!$A244,3),2))</f>
        <v>27</v>
      </c>
      <c r="J244" s="26">
        <f>IF(OR(AND(('2024_Draft_team'!$I244-4)&lt;=0,'2024_Draft_team'!$H244=TRUE),('2024_Draft_team'!$R244=TRUE)),"N/A",IF('2024_Draft_team'!$H244=TRUE,'2024_Draft_team'!$I244-4,'2024_Draft_team'!$I244-0))</f>
        <v>27</v>
      </c>
      <c r="K244" s="22" t="s">
        <v>164</v>
      </c>
      <c r="L244" s="22" t="s">
        <v>165</v>
      </c>
      <c r="M244" s="22" t="s">
        <v>567</v>
      </c>
      <c r="N244" s="22" t="s">
        <v>32</v>
      </c>
      <c r="O244" s="22" t="s">
        <v>93</v>
      </c>
      <c r="P244" s="22"/>
      <c r="Q244" s="22" t="str">
        <f>'2024_Draft_team'!$K244&amp;'2024_Draft_team'!$L244</f>
        <v>KhalilShakir</v>
      </c>
      <c r="R244" s="22" t="b">
        <f t="array" ref="R244">IFERROR((INDEX('2024_Transactions'!$J$2:$J$339,MATCH(1,('2024_Draft_team'!$Q244='2024_Transactions'!$C$2:$C$339)*('2024_Draft_team'!$B244='2024_Transactions'!$B$2:$B$339)*('2024_Transactions'!$J$2:$J$339="Dropped"),0))="Dropped"),FALSE)</f>
        <v>0</v>
      </c>
    </row>
    <row r="245" ht="14.25" customHeight="1">
      <c r="A245" s="22" t="s">
        <v>1731</v>
      </c>
      <c r="B245" s="22" t="s">
        <v>11</v>
      </c>
      <c r="C245" s="22" t="s">
        <v>1732</v>
      </c>
      <c r="D245" s="22" t="s">
        <v>897</v>
      </c>
      <c r="E245" s="22" t="s">
        <v>1733</v>
      </c>
      <c r="F245" s="22">
        <v>1032.0</v>
      </c>
      <c r="G245" s="22">
        <v>889.0</v>
      </c>
      <c r="H245" s="22" t="b">
        <f>(RIGHT('2024_Draft_team'!$C245,8)="(Keeper)")</f>
        <v>1</v>
      </c>
      <c r="I245" s="25" t="str">
        <f>IF(RIGHT(LEFT('2024_Draft_team'!$A245,3))="/",RIGHT(LEFT('2024_Draft_team'!$A245,2),1),RIGHT(LEFT('2024_Draft_team'!$A245,3),2))</f>
        <v>1</v>
      </c>
      <c r="J245" s="26" t="str">
        <f>IF(OR(AND(('2024_Draft_team'!$I245-4)&lt;=0,'2024_Draft_team'!$H245=TRUE),('2024_Draft_team'!$R245=TRUE)),"N/A",IF('2024_Draft_team'!$H245=TRUE,'2024_Draft_team'!$I245-4,'2024_Draft_team'!$I245-0))</f>
        <v>N/A</v>
      </c>
      <c r="K245" s="22" t="s">
        <v>375</v>
      </c>
      <c r="L245" s="22" t="s">
        <v>376</v>
      </c>
      <c r="M245" s="22" t="s">
        <v>29</v>
      </c>
      <c r="N245" s="22" t="s">
        <v>32</v>
      </c>
      <c r="O245" s="22" t="s">
        <v>179</v>
      </c>
      <c r="P245" s="22" t="s">
        <v>890</v>
      </c>
      <c r="Q245" s="22" t="str">
        <f>'2024_Draft_team'!$K245&amp;'2024_Draft_team'!$L245</f>
        <v>LamarJackson</v>
      </c>
      <c r="R245" s="22" t="b">
        <f t="array" ref="R245">IFERROR((INDEX('2024_Transactions'!$J$2:$J$339,MATCH(1,('2024_Draft_team'!$Q245='2024_Transactions'!$C$2:$C$339)*('2024_Draft_team'!$B245='2024_Transactions'!$B$2:$B$339)*('2024_Transactions'!$J$2:$J$339="Dropped"),0))="Dropped"),FALSE)</f>
        <v>0</v>
      </c>
    </row>
    <row r="246" ht="14.25" customHeight="1">
      <c r="A246" s="22" t="s">
        <v>1734</v>
      </c>
      <c r="B246" s="22" t="s">
        <v>11</v>
      </c>
      <c r="C246" s="22" t="s">
        <v>1735</v>
      </c>
      <c r="D246" s="22" t="s">
        <v>1736</v>
      </c>
      <c r="E246" s="22" t="s">
        <v>1737</v>
      </c>
      <c r="F246" s="22">
        <v>43.0</v>
      </c>
      <c r="G246" s="22">
        <v>33.0</v>
      </c>
      <c r="H246" s="22" t="b">
        <f>(RIGHT('2024_Draft_team'!$C246,8)="(Keeper)")</f>
        <v>0</v>
      </c>
      <c r="I246" s="25" t="str">
        <f>IF(RIGHT(LEFT('2024_Draft_team'!$A246,3))="/",RIGHT(LEFT('2024_Draft_team'!$A246,2),1),RIGHT(LEFT('2024_Draft_team'!$A246,3),2))</f>
        <v>2</v>
      </c>
      <c r="J246" s="26" t="str">
        <f>IF(OR(AND(('2024_Draft_team'!$I246-4)&lt;=0,'2024_Draft_team'!$H246=TRUE),('2024_Draft_team'!$R246=TRUE)),"N/A",IF('2024_Draft_team'!$H246=TRUE,'2024_Draft_team'!$I246-4,'2024_Draft_team'!$I246-0))</f>
        <v>N/A</v>
      </c>
      <c r="K246" s="22" t="s">
        <v>469</v>
      </c>
      <c r="L246" s="22" t="s">
        <v>637</v>
      </c>
      <c r="M246" s="22" t="s">
        <v>563</v>
      </c>
      <c r="N246" s="22" t="s">
        <v>32</v>
      </c>
      <c r="O246" s="22" t="s">
        <v>49</v>
      </c>
      <c r="P246" s="22"/>
      <c r="Q246" s="22" t="str">
        <f>'2024_Draft_team'!$K246&amp;'2024_Draft_team'!$L246</f>
        <v>C.J.Mosley</v>
      </c>
      <c r="R246" s="22" t="b">
        <f t="array" ref="R246">IFERROR((INDEX('2024_Transactions'!$J$2:$J$339,MATCH(1,('2024_Draft_team'!$Q246='2024_Transactions'!$C$2:$C$339)*('2024_Draft_team'!$B246='2024_Transactions'!$B$2:$B$339)*('2024_Transactions'!$J$2:$J$339="Dropped"),0))="Dropped"),FALSE)</f>
        <v>1</v>
      </c>
    </row>
    <row r="247" ht="14.25" customHeight="1">
      <c r="A247" s="22" t="s">
        <v>1738</v>
      </c>
      <c r="B247" s="22" t="s">
        <v>11</v>
      </c>
      <c r="C247" s="22" t="s">
        <v>1739</v>
      </c>
      <c r="D247" s="22" t="s">
        <v>897</v>
      </c>
      <c r="E247" s="22" t="s">
        <v>1740</v>
      </c>
      <c r="F247" s="22">
        <v>312.0</v>
      </c>
      <c r="G247" s="22">
        <v>303.0</v>
      </c>
      <c r="H247" s="22" t="b">
        <f>(RIGHT('2024_Draft_team'!$C247,8)="(Keeper)")</f>
        <v>1</v>
      </c>
      <c r="I247" s="25" t="str">
        <f>IF(RIGHT(LEFT('2024_Draft_team'!$A247,3))="/",RIGHT(LEFT('2024_Draft_team'!$A247,2),1),RIGHT(LEFT('2024_Draft_team'!$A247,3),2))</f>
        <v>3</v>
      </c>
      <c r="J247" s="26" t="str">
        <f>IF(OR(AND(('2024_Draft_team'!$I247-4)&lt;=0,'2024_Draft_team'!$H247=TRUE),('2024_Draft_team'!$R247=TRUE)),"N/A",IF('2024_Draft_team'!$H247=TRUE,'2024_Draft_team'!$I247-4,'2024_Draft_team'!$I247-0))</f>
        <v>N/A</v>
      </c>
      <c r="K247" s="22" t="s">
        <v>278</v>
      </c>
      <c r="L247" s="22" t="s">
        <v>397</v>
      </c>
      <c r="M247" s="22" t="s">
        <v>563</v>
      </c>
      <c r="N247" s="22" t="s">
        <v>32</v>
      </c>
      <c r="O247" s="22" t="s">
        <v>170</v>
      </c>
      <c r="P247" s="22" t="s">
        <v>890</v>
      </c>
      <c r="Q247" s="22" t="str">
        <f>'2024_Draft_team'!$K247&amp;'2024_Draft_team'!$L247</f>
        <v>T.J.Watt</v>
      </c>
      <c r="R247" s="22" t="b">
        <f t="array" ref="R247">IFERROR((INDEX('2024_Transactions'!$J$2:$J$339,MATCH(1,('2024_Draft_team'!$Q247='2024_Transactions'!$C$2:$C$339)*('2024_Draft_team'!$B247='2024_Transactions'!$B$2:$B$339)*('2024_Transactions'!$J$2:$J$339="Dropped"),0))="Dropped"),FALSE)</f>
        <v>0</v>
      </c>
    </row>
    <row r="248" ht="14.25" customHeight="1">
      <c r="A248" s="22" t="s">
        <v>1741</v>
      </c>
      <c r="B248" s="22" t="s">
        <v>11</v>
      </c>
      <c r="C248" s="22" t="s">
        <v>1742</v>
      </c>
      <c r="D248" s="22" t="s">
        <v>897</v>
      </c>
      <c r="E248" s="22" t="s">
        <v>1743</v>
      </c>
      <c r="F248" s="22">
        <v>351.0</v>
      </c>
      <c r="G248" s="22">
        <v>294.0</v>
      </c>
      <c r="H248" s="22" t="b">
        <f>(RIGHT('2024_Draft_team'!$C248,8)="(Keeper)")</f>
        <v>1</v>
      </c>
      <c r="I248" s="25" t="str">
        <f>IF(RIGHT(LEFT('2024_Draft_team'!$A248,3))="/",RIGHT(LEFT('2024_Draft_team'!$A248,2),1),RIGHT(LEFT('2024_Draft_team'!$A248,3),2))</f>
        <v>4</v>
      </c>
      <c r="J248" s="26" t="str">
        <f>IF(OR(AND(('2024_Draft_team'!$I248-4)&lt;=0,'2024_Draft_team'!$H248=TRUE),('2024_Draft_team'!$R248=TRUE)),"N/A",IF('2024_Draft_team'!$H248=TRUE,'2024_Draft_team'!$I248-4,'2024_Draft_team'!$I248-0))</f>
        <v>N/A</v>
      </c>
      <c r="K248" s="22" t="s">
        <v>408</v>
      </c>
      <c r="L248" s="22" t="s">
        <v>118</v>
      </c>
      <c r="M248" s="22" t="s">
        <v>567</v>
      </c>
      <c r="N248" s="22" t="s">
        <v>32</v>
      </c>
      <c r="O248" s="22" t="s">
        <v>58</v>
      </c>
      <c r="P248" s="22" t="s">
        <v>890</v>
      </c>
      <c r="Q248" s="22" t="str">
        <f>'2024_Draft_team'!$K248&amp;'2024_Draft_team'!$L248</f>
        <v>TyreekHill</v>
      </c>
      <c r="R248" s="22" t="b">
        <f t="array" ref="R248">IFERROR((INDEX('2024_Transactions'!$J$2:$J$339,MATCH(1,('2024_Draft_team'!$Q248='2024_Transactions'!$C$2:$C$339)*('2024_Draft_team'!$B248='2024_Transactions'!$B$2:$B$339)*('2024_Transactions'!$J$2:$J$339="Dropped"),0))="Dropped"),FALSE)</f>
        <v>0</v>
      </c>
    </row>
    <row r="249" ht="14.25" customHeight="1">
      <c r="A249" s="22" t="s">
        <v>1744</v>
      </c>
      <c r="B249" s="22" t="s">
        <v>11</v>
      </c>
      <c r="C249" s="22" t="s">
        <v>1745</v>
      </c>
      <c r="D249" s="22" t="s">
        <v>897</v>
      </c>
      <c r="E249" s="22" t="s">
        <v>1746</v>
      </c>
      <c r="F249" s="22">
        <v>463.0</v>
      </c>
      <c r="G249" s="22">
        <v>434.0</v>
      </c>
      <c r="H249" s="22" t="b">
        <f>(RIGHT('2024_Draft_team'!$C249,8)="(Keeper)")</f>
        <v>1</v>
      </c>
      <c r="I249" s="25" t="str">
        <f>IF(RIGHT(LEFT('2024_Draft_team'!$A249,3))="/",RIGHT(LEFT('2024_Draft_team'!$A249,2),1),RIGHT(LEFT('2024_Draft_team'!$A249,3),2))</f>
        <v>5</v>
      </c>
      <c r="J249" s="26">
        <f>IF(OR(AND(('2024_Draft_team'!$I249-4)&lt;=0,'2024_Draft_team'!$H249=TRUE),('2024_Draft_team'!$R249=TRUE)),"N/A",IF('2024_Draft_team'!$H249=TRUE,'2024_Draft_team'!$I249-4,'2024_Draft_team'!$I249-0))</f>
        <v>1</v>
      </c>
      <c r="K249" s="22" t="s">
        <v>392</v>
      </c>
      <c r="L249" s="22" t="s">
        <v>393</v>
      </c>
      <c r="M249" s="22" t="s">
        <v>563</v>
      </c>
      <c r="N249" s="22" t="s">
        <v>32</v>
      </c>
      <c r="O249" s="22" t="s">
        <v>105</v>
      </c>
      <c r="P249" s="22" t="s">
        <v>890</v>
      </c>
      <c r="Q249" s="22" t="str">
        <f>'2024_Draft_team'!$K249&amp;'2024_Draft_team'!$L249</f>
        <v>ZaireFranklin</v>
      </c>
      <c r="R249" s="22" t="b">
        <f t="array" ref="R249">IFERROR((INDEX('2024_Transactions'!$J$2:$J$339,MATCH(1,('2024_Draft_team'!$Q249='2024_Transactions'!$C$2:$C$339)*('2024_Draft_team'!$B249='2024_Transactions'!$B$2:$B$339)*('2024_Transactions'!$J$2:$J$339="Dropped"),0))="Dropped"),FALSE)</f>
        <v>0</v>
      </c>
    </row>
    <row r="250" ht="14.25" customHeight="1">
      <c r="A250" s="22" t="s">
        <v>1747</v>
      </c>
      <c r="B250" s="22" t="s">
        <v>11</v>
      </c>
      <c r="C250" s="22" t="s">
        <v>1748</v>
      </c>
      <c r="D250" s="22" t="s">
        <v>897</v>
      </c>
      <c r="E250" s="22" t="s">
        <v>1749</v>
      </c>
      <c r="F250" s="22">
        <v>399.0</v>
      </c>
      <c r="G250" s="22">
        <v>399.0</v>
      </c>
      <c r="H250" s="22" t="b">
        <f>(RIGHT('2024_Draft_team'!$C250,8)="(Keeper)")</f>
        <v>1</v>
      </c>
      <c r="I250" s="25" t="str">
        <f>IF(RIGHT(LEFT('2024_Draft_team'!$A250,3))="/",RIGHT(LEFT('2024_Draft_team'!$A250,2),1),RIGHT(LEFT('2024_Draft_team'!$A250,3),2))</f>
        <v>6</v>
      </c>
      <c r="J250" s="26">
        <f>IF(OR(AND(('2024_Draft_team'!$I250-4)&lt;=0,'2024_Draft_team'!$H250=TRUE),('2024_Draft_team'!$R250=TRUE)),"N/A",IF('2024_Draft_team'!$H250=TRUE,'2024_Draft_team'!$I250-4,'2024_Draft_team'!$I250-0))</f>
        <v>2</v>
      </c>
      <c r="K250" s="22" t="s">
        <v>409</v>
      </c>
      <c r="L250" s="22" t="s">
        <v>410</v>
      </c>
      <c r="M250" s="22" t="s">
        <v>567</v>
      </c>
      <c r="N250" s="22" t="s">
        <v>32</v>
      </c>
      <c r="O250" s="22" t="s">
        <v>87</v>
      </c>
      <c r="P250" s="22" t="s">
        <v>890</v>
      </c>
      <c r="Q250" s="22" t="str">
        <f>'2024_Draft_team'!$K250&amp;'2024_Draft_team'!$L250</f>
        <v>CeeDeeLamb</v>
      </c>
      <c r="R250" s="22" t="b">
        <f t="array" ref="R250">IFERROR((INDEX('2024_Transactions'!$J$2:$J$339,MATCH(1,('2024_Draft_team'!$Q250='2024_Transactions'!$C$2:$C$339)*('2024_Draft_team'!$B250='2024_Transactions'!$B$2:$B$339)*('2024_Transactions'!$J$2:$J$339="Dropped"),0))="Dropped"),FALSE)</f>
        <v>0</v>
      </c>
    </row>
    <row r="251" ht="14.25" customHeight="1">
      <c r="A251" s="22" t="s">
        <v>1750</v>
      </c>
      <c r="B251" s="22" t="s">
        <v>11</v>
      </c>
      <c r="C251" s="22" t="s">
        <v>1751</v>
      </c>
      <c r="D251" s="22" t="s">
        <v>1752</v>
      </c>
      <c r="E251" s="22" t="s">
        <v>1753</v>
      </c>
      <c r="F251" s="22">
        <v>96.0</v>
      </c>
      <c r="G251" s="22">
        <v>14.0</v>
      </c>
      <c r="H251" s="22" t="b">
        <f>(RIGHT('2024_Draft_team'!$C251,8)="(Keeper)")</f>
        <v>0</v>
      </c>
      <c r="I251" s="25" t="str">
        <f>IF(RIGHT(LEFT('2024_Draft_team'!$A251,3))="/",RIGHT(LEFT('2024_Draft_team'!$A251,2),1),RIGHT(LEFT('2024_Draft_team'!$A251,3),2))</f>
        <v>7</v>
      </c>
      <c r="J251" s="26" t="str">
        <f>IF(OR(AND(('2024_Draft_team'!$I251-4)&lt;=0,'2024_Draft_team'!$H251=TRUE),('2024_Draft_team'!$R251=TRUE)),"N/A",IF('2024_Draft_team'!$H251=TRUE,'2024_Draft_team'!$I251-4,'2024_Draft_team'!$I251-0))</f>
        <v>N/A</v>
      </c>
      <c r="K251" s="22" t="s">
        <v>625</v>
      </c>
      <c r="L251" s="22" t="s">
        <v>626</v>
      </c>
      <c r="M251" s="22" t="s">
        <v>39</v>
      </c>
      <c r="N251" s="22" t="s">
        <v>32</v>
      </c>
      <c r="O251" s="22" t="s">
        <v>58</v>
      </c>
      <c r="P251" s="22"/>
      <c r="Q251" s="22" t="str">
        <f>'2024_Draft_team'!$K251&amp;'2024_Draft_team'!$L251</f>
        <v>RaheemMostert</v>
      </c>
      <c r="R251" s="22" t="b">
        <f t="array" ref="R251">IFERROR((INDEX('2024_Transactions'!$J$2:$J$339,MATCH(1,('2024_Draft_team'!$Q251='2024_Transactions'!$C$2:$C$339)*('2024_Draft_team'!$B251='2024_Transactions'!$B$2:$B$339)*('2024_Transactions'!$J$2:$J$339="Dropped"),0))="Dropped"),FALSE)</f>
        <v>1</v>
      </c>
    </row>
    <row r="252" ht="14.25" customHeight="1">
      <c r="A252" s="22" t="s">
        <v>1754</v>
      </c>
      <c r="B252" s="22" t="s">
        <v>11</v>
      </c>
      <c r="C252" s="22" t="s">
        <v>1755</v>
      </c>
      <c r="D252" s="22" t="s">
        <v>897</v>
      </c>
      <c r="E252" s="22" t="s">
        <v>1756</v>
      </c>
      <c r="F252" s="22">
        <v>430.0</v>
      </c>
      <c r="G252" s="22">
        <v>406.0</v>
      </c>
      <c r="H252" s="22" t="b">
        <f>(RIGHT('2024_Draft_team'!$C252,8)="(Keeper)")</f>
        <v>1</v>
      </c>
      <c r="I252" s="25" t="str">
        <f>IF(RIGHT(LEFT('2024_Draft_team'!$A252,3))="/",RIGHT(LEFT('2024_Draft_team'!$A252,2),1),RIGHT(LEFT('2024_Draft_team'!$A252,3),2))</f>
        <v>8</v>
      </c>
      <c r="J252" s="26">
        <f>IF(OR(AND(('2024_Draft_team'!$I252-4)&lt;=0,'2024_Draft_team'!$H252=TRUE),('2024_Draft_team'!$R252=TRUE)),"N/A",IF('2024_Draft_team'!$H252=TRUE,'2024_Draft_team'!$I252-4,'2024_Draft_team'!$I252-0))</f>
        <v>4</v>
      </c>
      <c r="K252" s="22" t="s">
        <v>400</v>
      </c>
      <c r="L252" s="22" t="s">
        <v>401</v>
      </c>
      <c r="M252" s="22" t="s">
        <v>29</v>
      </c>
      <c r="N252" s="22" t="s">
        <v>32</v>
      </c>
      <c r="O252" s="22" t="s">
        <v>58</v>
      </c>
      <c r="P252" s="22" t="s">
        <v>890</v>
      </c>
      <c r="Q252" s="22" t="str">
        <f>'2024_Draft_team'!$K252&amp;'2024_Draft_team'!$L252</f>
        <v>TuaTagovailoa</v>
      </c>
      <c r="R252" s="22" t="b">
        <f t="array" ref="R252">IFERROR((INDEX('2024_Transactions'!$J$2:$J$339,MATCH(1,('2024_Draft_team'!$Q252='2024_Transactions'!$C$2:$C$339)*('2024_Draft_team'!$B252='2024_Transactions'!$B$2:$B$339)*('2024_Transactions'!$J$2:$J$339="Dropped"),0))="Dropped"),FALSE)</f>
        <v>0</v>
      </c>
    </row>
    <row r="253" ht="14.25" customHeight="1">
      <c r="A253" s="22" t="s">
        <v>1757</v>
      </c>
      <c r="B253" s="22" t="s">
        <v>11</v>
      </c>
      <c r="C253" s="22" t="s">
        <v>1758</v>
      </c>
      <c r="D253" s="22" t="s">
        <v>897</v>
      </c>
      <c r="E253" s="22" t="s">
        <v>1759</v>
      </c>
      <c r="F253" s="22">
        <v>329.0</v>
      </c>
      <c r="G253" s="22">
        <v>244.0</v>
      </c>
      <c r="H253" s="22" t="b">
        <f>(RIGHT('2024_Draft_team'!$C253,8)="(Keeper)")</f>
        <v>1</v>
      </c>
      <c r="I253" s="25" t="str">
        <f>IF(RIGHT(LEFT('2024_Draft_team'!$A253,3))="/",RIGHT(LEFT('2024_Draft_team'!$A253,2),1),RIGHT(LEFT('2024_Draft_team'!$A253,3),2))</f>
        <v>9</v>
      </c>
      <c r="J253" s="26">
        <f>IF(OR(AND(('2024_Draft_team'!$I253-4)&lt;=0,'2024_Draft_team'!$H253=TRUE),('2024_Draft_team'!$R253=TRUE)),"N/A",IF('2024_Draft_team'!$H253=TRUE,'2024_Draft_team'!$I253-4,'2024_Draft_team'!$I253-0))</f>
        <v>5</v>
      </c>
      <c r="K253" s="22" t="s">
        <v>381</v>
      </c>
      <c r="L253" s="22" t="s">
        <v>171</v>
      </c>
      <c r="M253" s="22" t="s">
        <v>39</v>
      </c>
      <c r="N253" s="22" t="s">
        <v>32</v>
      </c>
      <c r="O253" s="22" t="s">
        <v>170</v>
      </c>
      <c r="P253" s="22" t="s">
        <v>890</v>
      </c>
      <c r="Q253" s="22" t="str">
        <f>'2024_Draft_team'!$K253&amp;'2024_Draft_team'!$L253</f>
        <v>NajeeHarris</v>
      </c>
      <c r="R253" s="22" t="b">
        <f t="array" ref="R253">IFERROR((INDEX('2024_Transactions'!$J$2:$J$339,MATCH(1,('2024_Draft_team'!$Q253='2024_Transactions'!$C$2:$C$339)*('2024_Draft_team'!$B253='2024_Transactions'!$B$2:$B$339)*('2024_Transactions'!$J$2:$J$339="Dropped"),0))="Dropped"),FALSE)</f>
        <v>0</v>
      </c>
    </row>
    <row r="254" ht="14.25" customHeight="1">
      <c r="A254" s="22" t="s">
        <v>1760</v>
      </c>
      <c r="B254" s="22" t="s">
        <v>11</v>
      </c>
      <c r="C254" s="22" t="s">
        <v>1761</v>
      </c>
      <c r="D254" s="22" t="s">
        <v>897</v>
      </c>
      <c r="E254" s="22" t="s">
        <v>1762</v>
      </c>
      <c r="F254" s="22">
        <v>194.0</v>
      </c>
      <c r="G254" s="22">
        <v>125.0</v>
      </c>
      <c r="H254" s="22" t="b">
        <f>(RIGHT('2024_Draft_team'!$C254,8)="(Keeper)")</f>
        <v>1</v>
      </c>
      <c r="I254" s="25" t="str">
        <f>IF(RIGHT(LEFT('2024_Draft_team'!$A254,3))="/",RIGHT(LEFT('2024_Draft_team'!$A254,2),1),RIGHT(LEFT('2024_Draft_team'!$A254,3),2))</f>
        <v>10</v>
      </c>
      <c r="J254" s="26">
        <f>IF(OR(AND(('2024_Draft_team'!$I254-4)&lt;=0,'2024_Draft_team'!$H254=TRUE),('2024_Draft_team'!$R254=TRUE)),"N/A",IF('2024_Draft_team'!$H254=TRUE,'2024_Draft_team'!$I254-4,'2024_Draft_team'!$I254-0))</f>
        <v>6</v>
      </c>
      <c r="K254" s="22" t="s">
        <v>334</v>
      </c>
      <c r="L254" s="22" t="s">
        <v>415</v>
      </c>
      <c r="M254" s="22" t="s">
        <v>563</v>
      </c>
      <c r="N254" s="22" t="s">
        <v>32</v>
      </c>
      <c r="O254" s="22" t="s">
        <v>42</v>
      </c>
      <c r="P254" s="22" t="s">
        <v>890</v>
      </c>
      <c r="Q254" s="22" t="str">
        <f>'2024_Draft_team'!$K254&amp;'2024_Draft_team'!$L254</f>
        <v>JordanHicks</v>
      </c>
      <c r="R254" s="22" t="b">
        <f t="array" ref="R254">IFERROR((INDEX('2024_Transactions'!$J$2:$J$339,MATCH(1,('2024_Draft_team'!$Q254='2024_Transactions'!$C$2:$C$339)*('2024_Draft_team'!$B254='2024_Transactions'!$B$2:$B$339)*('2024_Transactions'!$J$2:$J$339="Dropped"),0))="Dropped"),FALSE)</f>
        <v>0</v>
      </c>
    </row>
    <row r="255" ht="14.25" customHeight="1">
      <c r="A255" s="22" t="s">
        <v>1763</v>
      </c>
      <c r="B255" s="22" t="s">
        <v>11</v>
      </c>
      <c r="C255" s="22" t="s">
        <v>1764</v>
      </c>
      <c r="D255" s="22" t="s">
        <v>897</v>
      </c>
      <c r="E255" s="22" t="s">
        <v>1765</v>
      </c>
      <c r="F255" s="22">
        <v>405.0</v>
      </c>
      <c r="G255" s="22">
        <v>385.0</v>
      </c>
      <c r="H255" s="22" t="b">
        <f>(RIGHT('2024_Draft_team'!$C255,8)="(Keeper)")</f>
        <v>1</v>
      </c>
      <c r="I255" s="25" t="str">
        <f>IF(RIGHT(LEFT('2024_Draft_team'!$A255,3))="/",RIGHT(LEFT('2024_Draft_team'!$A255,2),1),RIGHT(LEFT('2024_Draft_team'!$A255,3),2))</f>
        <v>11</v>
      </c>
      <c r="J255" s="26">
        <f>IF(OR(AND(('2024_Draft_team'!$I255-4)&lt;=0,'2024_Draft_team'!$H255=TRUE),('2024_Draft_team'!$R255=TRUE)),"N/A",IF('2024_Draft_team'!$H255=TRUE,'2024_Draft_team'!$I255-4,'2024_Draft_team'!$I255-0))</f>
        <v>7</v>
      </c>
      <c r="K255" s="22" t="s">
        <v>389</v>
      </c>
      <c r="L255" s="22" t="s">
        <v>247</v>
      </c>
      <c r="M255" s="22" t="s">
        <v>573</v>
      </c>
      <c r="N255" s="22" t="s">
        <v>32</v>
      </c>
      <c r="O255" s="22" t="s">
        <v>213</v>
      </c>
      <c r="P255" s="22" t="s">
        <v>890</v>
      </c>
      <c r="Q255" s="22" t="str">
        <f>'2024_Draft_team'!$K255&amp;'2024_Draft_team'!$L255</f>
        <v>BuddaBaker</v>
      </c>
      <c r="R255" s="22" t="b">
        <f t="array" ref="R255">IFERROR((INDEX('2024_Transactions'!$J$2:$J$339,MATCH(1,('2024_Draft_team'!$Q255='2024_Transactions'!$C$2:$C$339)*('2024_Draft_team'!$B255='2024_Transactions'!$B$2:$B$339)*('2024_Transactions'!$J$2:$J$339="Dropped"),0))="Dropped"),FALSE)</f>
        <v>0</v>
      </c>
    </row>
    <row r="256" ht="14.25" customHeight="1">
      <c r="A256" s="22" t="s">
        <v>1766</v>
      </c>
      <c r="B256" s="22" t="s">
        <v>11</v>
      </c>
      <c r="C256" s="22" t="s">
        <v>1767</v>
      </c>
      <c r="D256" s="22" t="s">
        <v>897</v>
      </c>
      <c r="E256" s="22" t="s">
        <v>1768</v>
      </c>
      <c r="F256" s="22">
        <v>387.0</v>
      </c>
      <c r="G256" s="22">
        <v>387.0</v>
      </c>
      <c r="H256" s="22" t="b">
        <f>(RIGHT('2024_Draft_team'!$C256,8)="(Keeper)")</f>
        <v>1</v>
      </c>
      <c r="I256" s="25" t="str">
        <f>IF(RIGHT(LEFT('2024_Draft_team'!$A256,3))="/",RIGHT(LEFT('2024_Draft_team'!$A256,2),1),RIGHT(LEFT('2024_Draft_team'!$A256,3),2))</f>
        <v>12</v>
      </c>
      <c r="J256" s="26">
        <f>IF(OR(AND(('2024_Draft_team'!$I256-4)&lt;=0,'2024_Draft_team'!$H256=TRUE),('2024_Draft_team'!$R256=TRUE)),"N/A",IF('2024_Draft_team'!$H256=TRUE,'2024_Draft_team'!$I256-4,'2024_Draft_team'!$I256-0))</f>
        <v>8</v>
      </c>
      <c r="K256" s="22" t="s">
        <v>402</v>
      </c>
      <c r="L256" s="22" t="s">
        <v>403</v>
      </c>
      <c r="M256" s="22" t="s">
        <v>39</v>
      </c>
      <c r="N256" s="22" t="s">
        <v>32</v>
      </c>
      <c r="O256" s="22" t="s">
        <v>33</v>
      </c>
      <c r="P256" s="22" t="s">
        <v>890</v>
      </c>
      <c r="Q256" s="22" t="str">
        <f>'2024_Draft_team'!$K256&amp;'2024_Draft_team'!$L256</f>
        <v>AlvinKamara</v>
      </c>
      <c r="R256" s="22" t="b">
        <f t="array" ref="R256">IFERROR((INDEX('2024_Transactions'!$J$2:$J$339,MATCH(1,('2024_Draft_team'!$Q256='2024_Transactions'!$C$2:$C$339)*('2024_Draft_team'!$B256='2024_Transactions'!$B$2:$B$339)*('2024_Transactions'!$J$2:$J$339="Dropped"),0))="Dropped"),FALSE)</f>
        <v>0</v>
      </c>
    </row>
    <row r="257" ht="14.25" customHeight="1">
      <c r="A257" s="22" t="s">
        <v>1769</v>
      </c>
      <c r="B257" s="22" t="s">
        <v>11</v>
      </c>
      <c r="C257" s="22" t="s">
        <v>1770</v>
      </c>
      <c r="D257" s="22" t="s">
        <v>897</v>
      </c>
      <c r="E257" s="22" t="s">
        <v>1771</v>
      </c>
      <c r="F257" s="22">
        <v>265.0</v>
      </c>
      <c r="G257" s="22">
        <v>96.0</v>
      </c>
      <c r="H257" s="22" t="b">
        <f>(RIGHT('2024_Draft_team'!$C257,8)="(Keeper)")</f>
        <v>1</v>
      </c>
      <c r="I257" s="25" t="str">
        <f>IF(RIGHT(LEFT('2024_Draft_team'!$A257,3))="/",RIGHT(LEFT('2024_Draft_team'!$A257,2),1),RIGHT(LEFT('2024_Draft_team'!$A257,3),2))</f>
        <v>13</v>
      </c>
      <c r="J257" s="26">
        <f>IF(OR(AND(('2024_Draft_team'!$I257-4)&lt;=0,'2024_Draft_team'!$H257=TRUE),('2024_Draft_team'!$R257=TRUE)),"N/A",IF('2024_Draft_team'!$H257=TRUE,'2024_Draft_team'!$I257-4,'2024_Draft_team'!$I257-0))</f>
        <v>9</v>
      </c>
      <c r="K257" s="22" t="s">
        <v>413</v>
      </c>
      <c r="L257" s="22" t="s">
        <v>414</v>
      </c>
      <c r="M257" s="22" t="s">
        <v>573</v>
      </c>
      <c r="N257" s="22" t="s">
        <v>32</v>
      </c>
      <c r="O257" s="22" t="s">
        <v>170</v>
      </c>
      <c r="P257" s="22" t="s">
        <v>890</v>
      </c>
      <c r="Q257" s="22" t="str">
        <f>'2024_Draft_team'!$K257&amp;'2024_Draft_team'!$L257</f>
        <v>MinkahFitzpatrick</v>
      </c>
      <c r="R257" s="22" t="b">
        <f t="array" ref="R257">IFERROR((INDEX('2024_Transactions'!$J$2:$J$339,MATCH(1,('2024_Draft_team'!$Q257='2024_Transactions'!$C$2:$C$339)*('2024_Draft_team'!$B257='2024_Transactions'!$B$2:$B$339)*('2024_Transactions'!$J$2:$J$339="Dropped"),0))="Dropped"),FALSE)</f>
        <v>0</v>
      </c>
    </row>
    <row r="258" ht="14.25" customHeight="1">
      <c r="A258" s="22" t="s">
        <v>1772</v>
      </c>
      <c r="B258" s="22" t="s">
        <v>11</v>
      </c>
      <c r="C258" s="22" t="s">
        <v>1773</v>
      </c>
      <c r="D258" s="22" t="s">
        <v>897</v>
      </c>
      <c r="E258" s="22" t="s">
        <v>1774</v>
      </c>
      <c r="F258" s="22">
        <v>348.0</v>
      </c>
      <c r="G258" s="22">
        <v>7.0</v>
      </c>
      <c r="H258" s="22" t="b">
        <f>(RIGHT('2024_Draft_team'!$C258,8)="(Keeper)")</f>
        <v>1</v>
      </c>
      <c r="I258" s="25" t="str">
        <f>IF(RIGHT(LEFT('2024_Draft_team'!$A258,3))="/",RIGHT(LEFT('2024_Draft_team'!$A258,2),1),RIGHT(LEFT('2024_Draft_team'!$A258,3),2))</f>
        <v>14</v>
      </c>
      <c r="J258" s="26">
        <f>IF(OR(AND(('2024_Draft_team'!$I258-4)&lt;=0,'2024_Draft_team'!$H258=TRUE),('2024_Draft_team'!$R258=TRUE)),"N/A",IF('2024_Draft_team'!$H258=TRUE,'2024_Draft_team'!$I258-4,'2024_Draft_team'!$I258-0))</f>
        <v>10</v>
      </c>
      <c r="K258" s="22" t="s">
        <v>338</v>
      </c>
      <c r="L258" s="22" t="s">
        <v>339</v>
      </c>
      <c r="M258" s="22" t="s">
        <v>650</v>
      </c>
      <c r="N258" s="22" t="s">
        <v>32</v>
      </c>
      <c r="O258" s="22" t="s">
        <v>179</v>
      </c>
      <c r="P258" s="22" t="s">
        <v>890</v>
      </c>
      <c r="Q258" s="22" t="str">
        <f>'2024_Draft_team'!$K258&amp;'2024_Draft_team'!$L258</f>
        <v>MarkAndrews</v>
      </c>
      <c r="R258" s="22" t="b">
        <f t="array" ref="R258">IFERROR((INDEX('2024_Transactions'!$J$2:$J$339,MATCH(1,('2024_Draft_team'!$Q258='2024_Transactions'!$C$2:$C$339)*('2024_Draft_team'!$B258='2024_Transactions'!$B$2:$B$339)*('2024_Transactions'!$J$2:$J$339="Dropped"),0))="Dropped"),FALSE)</f>
        <v>0</v>
      </c>
    </row>
    <row r="259" ht="14.25" customHeight="1">
      <c r="A259" s="22" t="s">
        <v>1775</v>
      </c>
      <c r="B259" s="22" t="s">
        <v>11</v>
      </c>
      <c r="C259" s="22" t="s">
        <v>1776</v>
      </c>
      <c r="D259" s="22" t="s">
        <v>897</v>
      </c>
      <c r="E259" s="22" t="s">
        <v>1777</v>
      </c>
      <c r="F259" s="22">
        <v>211.0</v>
      </c>
      <c r="G259" s="22">
        <v>30.0</v>
      </c>
      <c r="H259" s="22" t="b">
        <f>(RIGHT('2024_Draft_team'!$C259,8)="(Keeper)")</f>
        <v>1</v>
      </c>
      <c r="I259" s="25" t="str">
        <f>IF(RIGHT(LEFT('2024_Draft_team'!$A259,3))="/",RIGHT(LEFT('2024_Draft_team'!$A259,2),1),RIGHT(LEFT('2024_Draft_team'!$A259,3),2))</f>
        <v>15</v>
      </c>
      <c r="J259" s="26">
        <f>IF(OR(AND(('2024_Draft_team'!$I259-4)&lt;=0,'2024_Draft_team'!$H259=TRUE),('2024_Draft_team'!$R259=TRUE)),"N/A",IF('2024_Draft_team'!$H259=TRUE,'2024_Draft_team'!$I259-4,'2024_Draft_team'!$I259-0))</f>
        <v>11</v>
      </c>
      <c r="K259" s="22" t="s">
        <v>164</v>
      </c>
      <c r="L259" s="22" t="s">
        <v>740</v>
      </c>
      <c r="M259" s="22" t="s">
        <v>563</v>
      </c>
      <c r="N259" s="22" t="s">
        <v>32</v>
      </c>
      <c r="O259" s="22" t="s">
        <v>54</v>
      </c>
      <c r="P259" s="22" t="s">
        <v>890</v>
      </c>
      <c r="Q259" s="22" t="str">
        <f>'2024_Draft_team'!$K259&amp;'2024_Draft_team'!$L259</f>
        <v>KhalilMack</v>
      </c>
      <c r="R259" s="22" t="b">
        <f t="array" ref="R259">IFERROR((INDEX('2024_Transactions'!$J$2:$J$339,MATCH(1,('2024_Draft_team'!$Q259='2024_Transactions'!$C$2:$C$339)*('2024_Draft_team'!$B259='2024_Transactions'!$B$2:$B$339)*('2024_Transactions'!$J$2:$J$339="Dropped"),0))="Dropped"),FALSE)</f>
        <v>0</v>
      </c>
    </row>
    <row r="260" ht="14.25" customHeight="1">
      <c r="A260" s="22" t="s">
        <v>1778</v>
      </c>
      <c r="B260" s="22" t="s">
        <v>11</v>
      </c>
      <c r="C260" s="22" t="s">
        <v>1779</v>
      </c>
      <c r="D260" s="22" t="s">
        <v>1780</v>
      </c>
      <c r="E260" s="22" t="s">
        <v>1781</v>
      </c>
      <c r="F260" s="22">
        <v>308.0</v>
      </c>
      <c r="G260" s="22">
        <v>87.0</v>
      </c>
      <c r="H260" s="22" t="b">
        <f>(RIGHT('2024_Draft_team'!$C260,8)="(Keeper)")</f>
        <v>0</v>
      </c>
      <c r="I260" s="25" t="str">
        <f>IF(RIGHT(LEFT('2024_Draft_team'!$A260,3))="/",RIGHT(LEFT('2024_Draft_team'!$A260,2),1),RIGHT(LEFT('2024_Draft_team'!$A260,3),2))</f>
        <v>16</v>
      </c>
      <c r="J260" s="26">
        <f>IF(OR(AND(('2024_Draft_team'!$I260-4)&lt;=0,'2024_Draft_team'!$H260=TRUE),('2024_Draft_team'!$R260=TRUE)),"N/A",IF('2024_Draft_team'!$H260=TRUE,'2024_Draft_team'!$I260-4,'2024_Draft_team'!$I260-0))</f>
        <v>16</v>
      </c>
      <c r="K260" s="22" t="s">
        <v>1782</v>
      </c>
      <c r="L260" s="22" t="s">
        <v>102</v>
      </c>
      <c r="M260" s="22" t="s">
        <v>29</v>
      </c>
      <c r="N260" s="22" t="s">
        <v>32</v>
      </c>
      <c r="O260" s="22" t="s">
        <v>79</v>
      </c>
      <c r="P260" s="22"/>
      <c r="Q260" s="22" t="str">
        <f>'2024_Draft_team'!$K260&amp;'2024_Draft_team'!$L260</f>
        <v>DanielJones</v>
      </c>
      <c r="R260" s="22" t="b">
        <f t="array" ref="R260">IFERROR((INDEX('2024_Transactions'!$J$2:$J$339,MATCH(1,('2024_Draft_team'!$Q260='2024_Transactions'!$C$2:$C$339)*('2024_Draft_team'!$B260='2024_Transactions'!$B$2:$B$339)*('2024_Transactions'!$J$2:$J$339="Dropped"),0))="Dropped"),FALSE)</f>
        <v>0</v>
      </c>
    </row>
    <row r="261" ht="14.25" customHeight="1">
      <c r="A261" s="22" t="s">
        <v>1783</v>
      </c>
      <c r="B261" s="22" t="s">
        <v>11</v>
      </c>
      <c r="C261" s="22" t="s">
        <v>1784</v>
      </c>
      <c r="D261" s="22" t="s">
        <v>1785</v>
      </c>
      <c r="E261" s="22" t="s">
        <v>1786</v>
      </c>
      <c r="F261" s="22">
        <v>41.0</v>
      </c>
      <c r="G261" s="22">
        <v>0.0</v>
      </c>
      <c r="H261" s="22" t="b">
        <f>(RIGHT('2024_Draft_team'!$C261,8)="(Keeper)")</f>
        <v>0</v>
      </c>
      <c r="I261" s="25" t="str">
        <f>IF(RIGHT(LEFT('2024_Draft_team'!$A261,3))="/",RIGHT(LEFT('2024_Draft_team'!$A261,2),1),RIGHT(LEFT('2024_Draft_team'!$A261,3),2))</f>
        <v>17</v>
      </c>
      <c r="J261" s="26" t="str">
        <f>IF(OR(AND(('2024_Draft_team'!$I261-4)&lt;=0,'2024_Draft_team'!$H261=TRUE),('2024_Draft_team'!$R261=TRUE)),"N/A",IF('2024_Draft_team'!$H261=TRUE,'2024_Draft_team'!$I261-4,'2024_Draft_team'!$I261-0))</f>
        <v>N/A</v>
      </c>
      <c r="K261" s="22" t="s">
        <v>303</v>
      </c>
      <c r="L261" s="22" t="s">
        <v>849</v>
      </c>
      <c r="M261" s="22" t="s">
        <v>39</v>
      </c>
      <c r="N261" s="22" t="s">
        <v>32</v>
      </c>
      <c r="O261" s="22" t="s">
        <v>136</v>
      </c>
      <c r="P261" s="22"/>
      <c r="Q261" s="22" t="str">
        <f>'2024_Draft_team'!$K261&amp;'2024_Draft_team'!$L261</f>
        <v>BlakeCorum</v>
      </c>
      <c r="R261" s="22" t="b">
        <f t="array" ref="R261">IFERROR((INDEX('2024_Transactions'!$J$2:$J$339,MATCH(1,('2024_Draft_team'!$Q261='2024_Transactions'!$C$2:$C$339)*('2024_Draft_team'!$B261='2024_Transactions'!$B$2:$B$339)*('2024_Transactions'!$J$2:$J$339="Dropped"),0))="Dropped"),FALSE)</f>
        <v>1</v>
      </c>
    </row>
    <row r="262" ht="14.25" customHeight="1">
      <c r="A262" s="22" t="s">
        <v>1787</v>
      </c>
      <c r="B262" s="22" t="s">
        <v>11</v>
      </c>
      <c r="C262" s="22" t="s">
        <v>1788</v>
      </c>
      <c r="D262" s="22" t="s">
        <v>1789</v>
      </c>
      <c r="E262" s="22" t="s">
        <v>1790</v>
      </c>
      <c r="F262" s="22">
        <v>390.0</v>
      </c>
      <c r="G262" s="22">
        <v>99.0</v>
      </c>
      <c r="H262" s="22" t="b">
        <f>(RIGHT('2024_Draft_team'!$C262,8)="(Keeper)")</f>
        <v>0</v>
      </c>
      <c r="I262" s="25" t="str">
        <f>IF(RIGHT(LEFT('2024_Draft_team'!$A262,3))="/",RIGHT(LEFT('2024_Draft_team'!$A262,2),1),RIGHT(LEFT('2024_Draft_team'!$A262,3),2))</f>
        <v>18</v>
      </c>
      <c r="J262" s="26">
        <f>IF(OR(AND(('2024_Draft_team'!$I262-4)&lt;=0,'2024_Draft_team'!$H262=TRUE),('2024_Draft_team'!$R262=TRUE)),"N/A",IF('2024_Draft_team'!$H262=TRUE,'2024_Draft_team'!$I262-4,'2024_Draft_team'!$I262-0))</f>
        <v>18</v>
      </c>
      <c r="K262" s="22" t="s">
        <v>395</v>
      </c>
      <c r="L262" s="22" t="s">
        <v>396</v>
      </c>
      <c r="M262" s="22" t="s">
        <v>573</v>
      </c>
      <c r="N262" s="22" t="s">
        <v>32</v>
      </c>
      <c r="O262" s="22" t="s">
        <v>141</v>
      </c>
      <c r="P262" s="22"/>
      <c r="Q262" s="22" t="str">
        <f>'2024_Draft_team'!$K262&amp;'2024_Draft_team'!$L262</f>
        <v>KerbyJoseph</v>
      </c>
      <c r="R262" s="22" t="b">
        <f t="array" ref="R262">IFERROR((INDEX('2024_Transactions'!$J$2:$J$339,MATCH(1,('2024_Draft_team'!$Q262='2024_Transactions'!$C$2:$C$339)*('2024_Draft_team'!$B262='2024_Transactions'!$B$2:$B$339)*('2024_Transactions'!$J$2:$J$339="Dropped"),0))="Dropped"),FALSE)</f>
        <v>0</v>
      </c>
    </row>
    <row r="263" ht="14.25" customHeight="1">
      <c r="A263" s="22" t="s">
        <v>1791</v>
      </c>
      <c r="B263" s="22" t="s">
        <v>11</v>
      </c>
      <c r="C263" s="22" t="s">
        <v>1792</v>
      </c>
      <c r="D263" s="22" t="s">
        <v>1793</v>
      </c>
      <c r="E263" s="22" t="s">
        <v>1794</v>
      </c>
      <c r="F263" s="22">
        <v>197.0</v>
      </c>
      <c r="G263" s="22">
        <v>4.0</v>
      </c>
      <c r="H263" s="22" t="b">
        <f>(RIGHT('2024_Draft_team'!$C263,8)="(Keeper)")</f>
        <v>0</v>
      </c>
      <c r="I263" s="25" t="str">
        <f>IF(RIGHT(LEFT('2024_Draft_team'!$A263,3))="/",RIGHT(LEFT('2024_Draft_team'!$A263,2),1),RIGHT(LEFT('2024_Draft_team'!$A263,3),2))</f>
        <v>19</v>
      </c>
      <c r="J263" s="26" t="str">
        <f>IF(OR(AND(('2024_Draft_team'!$I263-4)&lt;=0,'2024_Draft_team'!$H263=TRUE),('2024_Draft_team'!$R263=TRUE)),"N/A",IF('2024_Draft_team'!$H263=TRUE,'2024_Draft_team'!$I263-4,'2024_Draft_team'!$I263-0))</f>
        <v>N/A</v>
      </c>
      <c r="K263" s="22" t="s">
        <v>122</v>
      </c>
      <c r="L263" s="22" t="s">
        <v>653</v>
      </c>
      <c r="M263" s="22" t="s">
        <v>573</v>
      </c>
      <c r="N263" s="22" t="s">
        <v>32</v>
      </c>
      <c r="O263" s="22" t="s">
        <v>172</v>
      </c>
      <c r="P263" s="22"/>
      <c r="Q263" s="22" t="str">
        <f>'2024_Draft_team'!$K263&amp;'2024_Draft_team'!$L263</f>
        <v>JalenPitre</v>
      </c>
      <c r="R263" s="22" t="b">
        <f t="array" ref="R263">IFERROR((INDEX('2024_Transactions'!$J$2:$J$339,MATCH(1,('2024_Draft_team'!$Q263='2024_Transactions'!$C$2:$C$339)*('2024_Draft_team'!$B263='2024_Transactions'!$B$2:$B$339)*('2024_Transactions'!$J$2:$J$339="Dropped"),0))="Dropped"),FALSE)</f>
        <v>1</v>
      </c>
    </row>
    <row r="264" ht="14.25" customHeight="1">
      <c r="A264" s="22" t="s">
        <v>1795</v>
      </c>
      <c r="B264" s="22" t="s">
        <v>11</v>
      </c>
      <c r="C264" s="22" t="s">
        <v>1796</v>
      </c>
      <c r="D264" s="22" t="s">
        <v>1090</v>
      </c>
      <c r="E264" s="22" t="s">
        <v>1797</v>
      </c>
      <c r="F264" s="22">
        <v>430.0</v>
      </c>
      <c r="G264" s="22">
        <v>141.0</v>
      </c>
      <c r="H264" s="22" t="b">
        <f>(RIGHT('2024_Draft_team'!$C264,8)="(Keeper)")</f>
        <v>0</v>
      </c>
      <c r="I264" s="25" t="str">
        <f>IF(RIGHT(LEFT('2024_Draft_team'!$A264,3))="/",RIGHT(LEFT('2024_Draft_team'!$A264,2),1),RIGHT(LEFT('2024_Draft_team'!$A264,3),2))</f>
        <v>20</v>
      </c>
      <c r="J264" s="26">
        <f>IF(OR(AND(('2024_Draft_team'!$I264-4)&lt;=0,'2024_Draft_team'!$H264=TRUE),('2024_Draft_team'!$R264=TRUE)),"N/A",IF('2024_Draft_team'!$H264=TRUE,'2024_Draft_team'!$I264-4,'2024_Draft_team'!$I264-0))</f>
        <v>20</v>
      </c>
      <c r="K264" s="22" t="s">
        <v>384</v>
      </c>
      <c r="L264" s="22" t="s">
        <v>385</v>
      </c>
      <c r="M264" s="22" t="s">
        <v>567</v>
      </c>
      <c r="N264" s="22" t="s">
        <v>32</v>
      </c>
      <c r="O264" s="22" t="s">
        <v>54</v>
      </c>
      <c r="P264" s="22"/>
      <c r="Q264" s="22" t="str">
        <f>'2024_Draft_team'!$K264&amp;'2024_Draft_team'!$L264</f>
        <v>LaddMcConkey</v>
      </c>
      <c r="R264" s="22" t="b">
        <f t="array" ref="R264">IFERROR((INDEX('2024_Transactions'!$J$2:$J$339,MATCH(1,('2024_Draft_team'!$Q264='2024_Transactions'!$C$2:$C$339)*('2024_Draft_team'!$B264='2024_Transactions'!$B$2:$B$339)*('2024_Transactions'!$J$2:$J$339="Dropped"),0))="Dropped"),FALSE)</f>
        <v>0</v>
      </c>
    </row>
    <row r="265" ht="14.25" customHeight="1">
      <c r="A265" s="22" t="s">
        <v>1798</v>
      </c>
      <c r="B265" s="22" t="s">
        <v>11</v>
      </c>
      <c r="C265" s="22" t="s">
        <v>1799</v>
      </c>
      <c r="D265" s="22" t="s">
        <v>1800</v>
      </c>
      <c r="E265" s="22" t="s">
        <v>1801</v>
      </c>
      <c r="F265" s="22">
        <v>299.0</v>
      </c>
      <c r="G265" s="22">
        <v>63.0</v>
      </c>
      <c r="H265" s="22" t="b">
        <f>(RIGHT('2024_Draft_team'!$C265,8)="(Keeper)")</f>
        <v>0</v>
      </c>
      <c r="I265" s="25" t="str">
        <f>IF(RIGHT(LEFT('2024_Draft_team'!$A265,3))="/",RIGHT(LEFT('2024_Draft_team'!$A265,2),1),RIGHT(LEFT('2024_Draft_team'!$A265,3),2))</f>
        <v>21</v>
      </c>
      <c r="J265" s="26">
        <f>IF(OR(AND(('2024_Draft_team'!$I265-4)&lt;=0,'2024_Draft_team'!$H265=TRUE),('2024_Draft_team'!$R265=TRUE)),"N/A",IF('2024_Draft_team'!$H265=TRUE,'2024_Draft_team'!$I265-4,'2024_Draft_team'!$I265-0))</f>
        <v>21</v>
      </c>
      <c r="K265" s="22" t="s">
        <v>346</v>
      </c>
      <c r="L265" s="22" t="s">
        <v>92</v>
      </c>
      <c r="M265" s="22" t="s">
        <v>563</v>
      </c>
      <c r="N265" s="22" t="s">
        <v>32</v>
      </c>
      <c r="O265" s="22" t="s">
        <v>45</v>
      </c>
      <c r="P265" s="22"/>
      <c r="Q265" s="22" t="str">
        <f>'2024_Draft_team'!$K265&amp;'2024_Draft_team'!$L265</f>
        <v>EdgerrinCooper</v>
      </c>
      <c r="R265" s="22" t="b">
        <f t="array" ref="R265">IFERROR((INDEX('2024_Transactions'!$J$2:$J$339,MATCH(1,('2024_Draft_team'!$Q265='2024_Transactions'!$C$2:$C$339)*('2024_Draft_team'!$B265='2024_Transactions'!$B$2:$B$339)*('2024_Transactions'!$J$2:$J$339="Dropped"),0))="Dropped"),FALSE)</f>
        <v>0</v>
      </c>
    </row>
    <row r="266" ht="14.25" customHeight="1">
      <c r="A266" s="22" t="s">
        <v>1802</v>
      </c>
      <c r="B266" s="22" t="s">
        <v>11</v>
      </c>
      <c r="C266" s="22" t="s">
        <v>1803</v>
      </c>
      <c r="D266" s="22" t="s">
        <v>897</v>
      </c>
      <c r="E266" s="22" t="s">
        <v>1804</v>
      </c>
      <c r="F266" s="22">
        <v>371.0</v>
      </c>
      <c r="G266" s="22">
        <v>256.0</v>
      </c>
      <c r="H266" s="22" t="b">
        <f>(RIGHT('2024_Draft_team'!$C266,8)="(Keeper)")</f>
        <v>1</v>
      </c>
      <c r="I266" s="25" t="str">
        <f>IF(RIGHT(LEFT('2024_Draft_team'!$A266,3))="/",RIGHT(LEFT('2024_Draft_team'!$A266,2),1),RIGHT(LEFT('2024_Draft_team'!$A266,3),2))</f>
        <v>22</v>
      </c>
      <c r="J266" s="26">
        <f>IF(OR(AND(('2024_Draft_team'!$I266-4)&lt;=0,'2024_Draft_team'!$H266=TRUE),('2024_Draft_team'!$R266=TRUE)),"N/A",IF('2024_Draft_team'!$H266=TRUE,'2024_Draft_team'!$I266-4,'2024_Draft_team'!$I266-0))</f>
        <v>18</v>
      </c>
      <c r="K266" s="22" t="s">
        <v>382</v>
      </c>
      <c r="L266" s="22" t="s">
        <v>383</v>
      </c>
      <c r="M266" s="22" t="s">
        <v>650</v>
      </c>
      <c r="N266" s="22" t="s">
        <v>32</v>
      </c>
      <c r="O266" s="22" t="s">
        <v>37</v>
      </c>
      <c r="P266" s="22" t="s">
        <v>890</v>
      </c>
      <c r="Q266" s="22" t="str">
        <f>'2024_Draft_team'!$K266&amp;'2024_Draft_team'!$L266</f>
        <v>GeorgeKittle</v>
      </c>
      <c r="R266" s="22" t="b">
        <f t="array" ref="R266">IFERROR((INDEX('2024_Transactions'!$J$2:$J$339,MATCH(1,('2024_Draft_team'!$Q266='2024_Transactions'!$C$2:$C$339)*('2024_Draft_team'!$B266='2024_Transactions'!$B$2:$B$339)*('2024_Transactions'!$J$2:$J$339="Dropped"),0))="Dropped"),FALSE)</f>
        <v>0</v>
      </c>
    </row>
    <row r="267" ht="14.25" customHeight="1">
      <c r="A267" s="22" t="s">
        <v>1805</v>
      </c>
      <c r="B267" s="22" t="s">
        <v>11</v>
      </c>
      <c r="C267" s="22" t="s">
        <v>1806</v>
      </c>
      <c r="D267" s="22" t="s">
        <v>1807</v>
      </c>
      <c r="E267" s="22" t="s">
        <v>1808</v>
      </c>
      <c r="F267" s="22">
        <v>226.0</v>
      </c>
      <c r="G267" s="22">
        <v>11.0</v>
      </c>
      <c r="H267" s="22" t="b">
        <f>(RIGHT('2024_Draft_team'!$C267,8)="(Keeper)")</f>
        <v>0</v>
      </c>
      <c r="I267" s="25" t="str">
        <f>IF(RIGHT(LEFT('2024_Draft_team'!$A267,3))="/",RIGHT(LEFT('2024_Draft_team'!$A267,2),1),RIGHT(LEFT('2024_Draft_team'!$A267,3),2))</f>
        <v>23</v>
      </c>
      <c r="J267" s="26">
        <f>IF(OR(AND(('2024_Draft_team'!$I267-4)&lt;=0,'2024_Draft_team'!$H267=TRUE),('2024_Draft_team'!$R267=TRUE)),"N/A",IF('2024_Draft_team'!$H267=TRUE,'2024_Draft_team'!$I267-4,'2024_Draft_team'!$I267-0))</f>
        <v>23</v>
      </c>
      <c r="K267" s="22" t="s">
        <v>202</v>
      </c>
      <c r="L267" s="22" t="s">
        <v>1809</v>
      </c>
      <c r="M267" s="22" t="s">
        <v>573</v>
      </c>
      <c r="N267" s="22" t="s">
        <v>32</v>
      </c>
      <c r="O267" s="22" t="s">
        <v>444</v>
      </c>
      <c r="P267" s="22"/>
      <c r="Q267" s="22" t="str">
        <f>'2024_Draft_team'!$K267&amp;'2024_Draft_team'!$L267</f>
        <v>KyleDugger</v>
      </c>
      <c r="R267" s="22" t="b">
        <f t="array" ref="R267">IFERROR((INDEX('2024_Transactions'!$J$2:$J$339,MATCH(1,('2024_Draft_team'!$Q267='2024_Transactions'!$C$2:$C$339)*('2024_Draft_team'!$B267='2024_Transactions'!$B$2:$B$339)*('2024_Transactions'!$J$2:$J$339="Dropped"),0))="Dropped"),FALSE)</f>
        <v>0</v>
      </c>
    </row>
    <row r="268" ht="14.25" customHeight="1">
      <c r="A268" s="22" t="s">
        <v>1810</v>
      </c>
      <c r="B268" s="22" t="s">
        <v>11</v>
      </c>
      <c r="C268" s="22" t="s">
        <v>1811</v>
      </c>
      <c r="D268" s="22" t="s">
        <v>970</v>
      </c>
      <c r="E268" s="22" t="s">
        <v>1812</v>
      </c>
      <c r="F268" s="22">
        <v>59.0</v>
      </c>
      <c r="G268" s="22">
        <v>0.0</v>
      </c>
      <c r="H268" s="22" t="b">
        <f>(RIGHT('2024_Draft_team'!$C268,8)="(Keeper)")</f>
        <v>0</v>
      </c>
      <c r="I268" s="25" t="str">
        <f>IF(RIGHT(LEFT('2024_Draft_team'!$A268,3))="/",RIGHT(LEFT('2024_Draft_team'!$A268,2),1),RIGHT(LEFT('2024_Draft_team'!$A268,3),2))</f>
        <v>24</v>
      </c>
      <c r="J268" s="26">
        <f>IF(OR(AND(('2024_Draft_team'!$I268-4)&lt;=0,'2024_Draft_team'!$H268=TRUE),('2024_Draft_team'!$R268=TRUE)),"N/A",IF('2024_Draft_team'!$H268=TRUE,'2024_Draft_team'!$I268-4,'2024_Draft_team'!$I268-0))</f>
        <v>24</v>
      </c>
      <c r="K268" s="22" t="s">
        <v>1813</v>
      </c>
      <c r="L268" s="22" t="s">
        <v>1814</v>
      </c>
      <c r="M268" s="22" t="s">
        <v>567</v>
      </c>
      <c r="N268" s="22" t="s">
        <v>32</v>
      </c>
      <c r="O268" s="22" t="s">
        <v>444</v>
      </c>
      <c r="P268" s="22"/>
      <c r="Q268" s="22" t="str">
        <f>'2024_Draft_team'!$K268&amp;'2024_Draft_team'!$L268</f>
        <v>Ja'LynnPolk</v>
      </c>
      <c r="R268" s="22" t="b">
        <f t="array" ref="R268">IFERROR((INDEX('2024_Transactions'!$J$2:$J$339,MATCH(1,('2024_Draft_team'!$Q268='2024_Transactions'!$C$2:$C$339)*('2024_Draft_team'!$B268='2024_Transactions'!$B$2:$B$339)*('2024_Transactions'!$J$2:$J$339="Dropped"),0))="Dropped"),FALSE)</f>
        <v>0</v>
      </c>
    </row>
    <row r="269" ht="14.25" customHeight="1">
      <c r="A269" s="22" t="s">
        <v>1815</v>
      </c>
      <c r="B269" s="22" t="s">
        <v>11</v>
      </c>
      <c r="C269" s="22" t="s">
        <v>1816</v>
      </c>
      <c r="D269" s="22" t="s">
        <v>1817</v>
      </c>
      <c r="E269" s="22" t="s">
        <v>1818</v>
      </c>
      <c r="F269" s="22">
        <v>262.0</v>
      </c>
      <c r="G269" s="22">
        <v>0.0</v>
      </c>
      <c r="H269" s="22" t="b">
        <f>(RIGHT('2024_Draft_team'!$C269,8)="(Keeper)")</f>
        <v>0</v>
      </c>
      <c r="I269" s="25" t="str">
        <f>IF(RIGHT(LEFT('2024_Draft_team'!$A269,3))="/",RIGHT(LEFT('2024_Draft_team'!$A269,2),1),RIGHT(LEFT('2024_Draft_team'!$A269,3),2))</f>
        <v>25</v>
      </c>
      <c r="J269" s="26">
        <f>IF(OR(AND(('2024_Draft_team'!$I269-4)&lt;=0,'2024_Draft_team'!$H269=TRUE),('2024_Draft_team'!$R269=TRUE)),"N/A",IF('2024_Draft_team'!$H269=TRUE,'2024_Draft_team'!$I269-4,'2024_Draft_team'!$I269-0))</f>
        <v>25</v>
      </c>
      <c r="K269" s="22" t="s">
        <v>1819</v>
      </c>
      <c r="L269" s="22" t="s">
        <v>595</v>
      </c>
      <c r="M269" s="22" t="s">
        <v>573</v>
      </c>
      <c r="N269" s="22" t="s">
        <v>32</v>
      </c>
      <c r="O269" s="22" t="s">
        <v>90</v>
      </c>
      <c r="P269" s="22"/>
      <c r="Q269" s="22" t="str">
        <f>'2024_Draft_team'!$K269&amp;'2024_Draft_team'!$L269</f>
        <v>TrentMcDuffie</v>
      </c>
      <c r="R269" s="22" t="b">
        <f t="array" ref="R269">IFERROR((INDEX('2024_Transactions'!$J$2:$J$339,MATCH(1,('2024_Draft_team'!$Q269='2024_Transactions'!$C$2:$C$339)*('2024_Draft_team'!$B269='2024_Transactions'!$B$2:$B$339)*('2024_Transactions'!$J$2:$J$339="Dropped"),0))="Dropped"),FALSE)</f>
        <v>0</v>
      </c>
    </row>
    <row r="270" ht="14.25" customHeight="1">
      <c r="A270" s="22" t="s">
        <v>1820</v>
      </c>
      <c r="B270" s="22" t="s">
        <v>11</v>
      </c>
      <c r="C270" s="22" t="s">
        <v>1821</v>
      </c>
      <c r="D270" s="22" t="s">
        <v>897</v>
      </c>
      <c r="E270" s="22" t="s">
        <v>1822</v>
      </c>
      <c r="F270" s="22">
        <v>191.0</v>
      </c>
      <c r="G270" s="22">
        <v>4.0</v>
      </c>
      <c r="H270" s="22" t="b">
        <f>(RIGHT('2024_Draft_team'!$C270,8)="(Keeper)")</f>
        <v>1</v>
      </c>
      <c r="I270" s="25" t="str">
        <f>IF(RIGHT(LEFT('2024_Draft_team'!$A270,3))="/",RIGHT(LEFT('2024_Draft_team'!$A270,2),1),RIGHT(LEFT('2024_Draft_team'!$A270,3),2))</f>
        <v>26</v>
      </c>
      <c r="J270" s="26">
        <f>IF(OR(AND(('2024_Draft_team'!$I270-4)&lt;=0,'2024_Draft_team'!$H270=TRUE),('2024_Draft_team'!$R270=TRUE)),"N/A",IF('2024_Draft_team'!$H270=TRUE,'2024_Draft_team'!$I270-4,'2024_Draft_team'!$I270-0))</f>
        <v>22</v>
      </c>
      <c r="K270" s="22" t="s">
        <v>450</v>
      </c>
      <c r="L270" s="22" t="s">
        <v>471</v>
      </c>
      <c r="M270" s="22" t="s">
        <v>39</v>
      </c>
      <c r="N270" s="22" t="s">
        <v>32</v>
      </c>
      <c r="O270" s="22" t="s">
        <v>42</v>
      </c>
      <c r="P270" s="22" t="s">
        <v>890</v>
      </c>
      <c r="Q270" s="22" t="str">
        <f>'2024_Draft_team'!$K270&amp;'2024_Draft_team'!$L270</f>
        <v>JeromeFord</v>
      </c>
      <c r="R270" s="22" t="b">
        <f t="array" ref="R270">IFERROR((INDEX('2024_Transactions'!$J$2:$J$339,MATCH(1,('2024_Draft_team'!$Q270='2024_Transactions'!$C$2:$C$339)*('2024_Draft_team'!$B270='2024_Transactions'!$B$2:$B$339)*('2024_Transactions'!$J$2:$J$339="Dropped"),0))="Dropped"),FALSE)</f>
        <v>0</v>
      </c>
    </row>
    <row r="271" ht="14.25" customHeight="1">
      <c r="A271" s="22" t="s">
        <v>1823</v>
      </c>
      <c r="B271" s="22" t="s">
        <v>11</v>
      </c>
      <c r="C271" s="22" t="s">
        <v>1824</v>
      </c>
      <c r="D271" s="22" t="s">
        <v>1825</v>
      </c>
      <c r="E271" s="22" t="s">
        <v>1826</v>
      </c>
      <c r="F271" s="22">
        <v>265.0</v>
      </c>
      <c r="G271" s="22">
        <v>88.0</v>
      </c>
      <c r="H271" s="22" t="b">
        <f>(RIGHT('2024_Draft_team'!$C271,8)="(Keeper)")</f>
        <v>0</v>
      </c>
      <c r="I271" s="25" t="str">
        <f>IF(RIGHT(LEFT('2024_Draft_team'!$A271,3))="/",RIGHT(LEFT('2024_Draft_team'!$A271,2),1),RIGHT(LEFT('2024_Draft_team'!$A271,3),2))</f>
        <v>27</v>
      </c>
      <c r="J271" s="26">
        <f>IF(OR(AND(('2024_Draft_team'!$I271-4)&lt;=0,'2024_Draft_team'!$H271=TRUE),('2024_Draft_team'!$R271=TRUE)),"N/A",IF('2024_Draft_team'!$H271=TRUE,'2024_Draft_team'!$I271-4,'2024_Draft_team'!$I271-0))</f>
        <v>27</v>
      </c>
      <c r="K271" s="22" t="s">
        <v>303</v>
      </c>
      <c r="L271" s="22" t="s">
        <v>704</v>
      </c>
      <c r="M271" s="22" t="s">
        <v>55</v>
      </c>
      <c r="N271" s="22" t="s">
        <v>32</v>
      </c>
      <c r="O271" s="22" t="s">
        <v>33</v>
      </c>
      <c r="P271" s="22"/>
      <c r="Q271" s="22" t="str">
        <f>'2024_Draft_team'!$K271&amp;'2024_Draft_team'!$L271</f>
        <v>BlakeGrupe</v>
      </c>
      <c r="R271" s="22" t="b">
        <f t="array" ref="R271">IFERROR((INDEX('2024_Transactions'!$J$2:$J$339,MATCH(1,('2024_Draft_team'!$Q271='2024_Transactions'!$C$2:$C$339)*('2024_Draft_team'!$B271='2024_Transactions'!$B$2:$B$339)*('2024_Transactions'!$J$2:$J$339="Dropped"),0))="Dropped"),FALSE)</f>
        <v>0</v>
      </c>
    </row>
    <row r="272" ht="14.25" customHeight="1">
      <c r="I272" s="27"/>
      <c r="J272" s="27"/>
    </row>
    <row r="273" ht="14.25" customHeight="1">
      <c r="I273" s="27"/>
      <c r="J273" s="27"/>
    </row>
    <row r="274" ht="14.25" customHeight="1">
      <c r="I274" s="27"/>
      <c r="J274" s="27"/>
    </row>
    <row r="275" ht="14.25" customHeight="1">
      <c r="I275" s="27"/>
      <c r="J275" s="27"/>
    </row>
    <row r="276" ht="14.25" customHeight="1">
      <c r="I276" s="27"/>
      <c r="J276" s="27"/>
    </row>
    <row r="277" ht="14.25" customHeight="1">
      <c r="I277" s="27"/>
      <c r="J277" s="27"/>
    </row>
    <row r="278" ht="14.25" customHeight="1">
      <c r="I278" s="27"/>
      <c r="J278" s="27"/>
    </row>
    <row r="279" ht="14.25" customHeight="1">
      <c r="I279" s="27"/>
      <c r="J279" s="27"/>
    </row>
    <row r="280" ht="14.25" customHeight="1">
      <c r="I280" s="27"/>
      <c r="J280" s="27"/>
    </row>
    <row r="281" ht="14.25" customHeight="1">
      <c r="I281" s="27"/>
      <c r="J281" s="27"/>
    </row>
    <row r="282" ht="14.25" customHeight="1">
      <c r="I282" s="27"/>
      <c r="J282" s="27"/>
    </row>
    <row r="283" ht="14.25" customHeight="1">
      <c r="I283" s="27"/>
      <c r="J283" s="27"/>
    </row>
    <row r="284" ht="14.25" customHeight="1">
      <c r="I284" s="27"/>
      <c r="J284" s="27"/>
    </row>
    <row r="285" ht="14.25" customHeight="1">
      <c r="I285" s="27"/>
      <c r="J285" s="27"/>
    </row>
    <row r="286" ht="14.25" customHeight="1">
      <c r="I286" s="27"/>
      <c r="J286" s="27"/>
    </row>
    <row r="287" ht="14.25" customHeight="1">
      <c r="I287" s="27"/>
      <c r="J287" s="27"/>
    </row>
    <row r="288" ht="14.25" customHeight="1">
      <c r="I288" s="27"/>
      <c r="J288" s="27"/>
    </row>
    <row r="289" ht="14.25" customHeight="1">
      <c r="I289" s="27"/>
      <c r="J289" s="27"/>
    </row>
    <row r="290" ht="14.25" customHeight="1">
      <c r="I290" s="27"/>
      <c r="J290" s="27"/>
    </row>
    <row r="291" ht="14.25" customHeight="1">
      <c r="I291" s="27"/>
      <c r="J291" s="27"/>
    </row>
    <row r="292" ht="14.25" customHeight="1">
      <c r="I292" s="27"/>
      <c r="J292" s="27"/>
    </row>
    <row r="293" ht="14.25" customHeight="1">
      <c r="I293" s="27"/>
      <c r="J293" s="27"/>
    </row>
    <row r="294" ht="14.25" customHeight="1">
      <c r="I294" s="27"/>
      <c r="J294" s="27"/>
    </row>
    <row r="295" ht="14.25" customHeight="1">
      <c r="I295" s="27"/>
      <c r="J295" s="27"/>
    </row>
    <row r="296" ht="14.25" customHeight="1">
      <c r="I296" s="27"/>
      <c r="J296" s="27"/>
    </row>
    <row r="297" ht="14.25" customHeight="1">
      <c r="I297" s="27"/>
      <c r="J297" s="27"/>
    </row>
    <row r="298" ht="14.25" customHeight="1">
      <c r="I298" s="27"/>
      <c r="J298" s="27"/>
    </row>
    <row r="299" ht="14.25" customHeight="1">
      <c r="I299" s="27"/>
      <c r="J299" s="27"/>
    </row>
    <row r="300" ht="14.25" customHeight="1">
      <c r="I300" s="27"/>
      <c r="J300" s="27"/>
    </row>
    <row r="301" ht="14.25" customHeight="1">
      <c r="I301" s="27"/>
      <c r="J301" s="27"/>
    </row>
    <row r="302" ht="14.25" customHeight="1">
      <c r="I302" s="27"/>
      <c r="J302" s="27"/>
    </row>
    <row r="303" ht="14.25" customHeight="1">
      <c r="I303" s="27"/>
      <c r="J303" s="27"/>
    </row>
    <row r="304" ht="14.25" customHeight="1">
      <c r="I304" s="27"/>
      <c r="J304" s="27"/>
    </row>
    <row r="305" ht="14.25" customHeight="1">
      <c r="I305" s="27"/>
      <c r="J305" s="27"/>
    </row>
    <row r="306" ht="14.25" customHeight="1">
      <c r="I306" s="27"/>
      <c r="J306" s="27"/>
    </row>
    <row r="307" ht="14.25" customHeight="1">
      <c r="I307" s="27"/>
      <c r="J307" s="27"/>
    </row>
    <row r="308" ht="14.25" customHeight="1">
      <c r="I308" s="27"/>
      <c r="J308" s="27"/>
    </row>
    <row r="309" ht="14.25" customHeight="1">
      <c r="I309" s="27"/>
      <c r="J309" s="27"/>
    </row>
    <row r="310" ht="14.25" customHeight="1">
      <c r="I310" s="27"/>
      <c r="J310" s="27"/>
    </row>
    <row r="311" ht="14.25" customHeight="1">
      <c r="I311" s="27"/>
      <c r="J311" s="27"/>
    </row>
    <row r="312" ht="14.25" customHeight="1">
      <c r="I312" s="27"/>
      <c r="J312" s="27"/>
    </row>
    <row r="313" ht="14.25" customHeight="1">
      <c r="I313" s="27"/>
      <c r="J313" s="27"/>
    </row>
    <row r="314" ht="14.25" customHeight="1">
      <c r="I314" s="27"/>
      <c r="J314" s="27"/>
    </row>
    <row r="315" ht="14.25" customHeight="1">
      <c r="I315" s="27"/>
      <c r="J315" s="27"/>
    </row>
    <row r="316" ht="14.25" customHeight="1">
      <c r="I316" s="27"/>
      <c r="J316" s="27"/>
    </row>
    <row r="317" ht="14.25" customHeight="1">
      <c r="I317" s="27"/>
      <c r="J317" s="27"/>
    </row>
    <row r="318" ht="14.25" customHeight="1">
      <c r="I318" s="27"/>
      <c r="J318" s="27"/>
    </row>
    <row r="319" ht="14.25" customHeight="1">
      <c r="I319" s="27"/>
      <c r="J319" s="27"/>
    </row>
    <row r="320" ht="14.25" customHeight="1">
      <c r="I320" s="27"/>
      <c r="J320" s="27"/>
    </row>
    <row r="321" ht="14.25" customHeight="1">
      <c r="I321" s="27"/>
      <c r="J321" s="27"/>
    </row>
    <row r="322" ht="14.25" customHeight="1">
      <c r="I322" s="27"/>
      <c r="J322" s="27"/>
    </row>
    <row r="323" ht="14.25" customHeight="1">
      <c r="I323" s="27"/>
      <c r="J323" s="27"/>
    </row>
    <row r="324" ht="14.25" customHeight="1">
      <c r="I324" s="27"/>
      <c r="J324" s="27"/>
    </row>
    <row r="325" ht="14.25" customHeight="1">
      <c r="I325" s="27"/>
      <c r="J325" s="27"/>
    </row>
    <row r="326" ht="14.25" customHeight="1">
      <c r="I326" s="27"/>
      <c r="J326" s="27"/>
    </row>
    <row r="327" ht="14.25" customHeight="1">
      <c r="I327" s="27"/>
      <c r="J327" s="27"/>
    </row>
    <row r="328" ht="14.25" customHeight="1">
      <c r="I328" s="27"/>
      <c r="J328" s="27"/>
    </row>
    <row r="329" ht="14.25" customHeight="1">
      <c r="I329" s="27"/>
      <c r="J329" s="27"/>
    </row>
    <row r="330" ht="14.25" customHeight="1">
      <c r="I330" s="27"/>
      <c r="J330" s="27"/>
    </row>
    <row r="331" ht="14.25" customHeight="1">
      <c r="I331" s="27"/>
      <c r="J331" s="27"/>
    </row>
    <row r="332" ht="14.25" customHeight="1">
      <c r="I332" s="27"/>
      <c r="J332" s="27"/>
    </row>
    <row r="333" ht="14.25" customHeight="1">
      <c r="I333" s="27"/>
      <c r="J333" s="27"/>
    </row>
    <row r="334" ht="14.25" customHeight="1">
      <c r="I334" s="27"/>
      <c r="J334" s="27"/>
    </row>
    <row r="335" ht="14.25" customHeight="1">
      <c r="I335" s="27"/>
      <c r="J335" s="27"/>
    </row>
    <row r="336" ht="14.25" customHeight="1">
      <c r="I336" s="27"/>
      <c r="J336" s="27"/>
    </row>
    <row r="337" ht="14.25" customHeight="1">
      <c r="I337" s="27"/>
      <c r="J337" s="27"/>
    </row>
    <row r="338" ht="14.25" customHeight="1">
      <c r="I338" s="27"/>
      <c r="J338" s="27"/>
    </row>
    <row r="339" ht="14.25" customHeight="1">
      <c r="I339" s="27"/>
      <c r="J339" s="27"/>
    </row>
    <row r="340" ht="14.25" customHeight="1">
      <c r="I340" s="27"/>
      <c r="J340" s="27"/>
    </row>
    <row r="341" ht="14.25" customHeight="1">
      <c r="I341" s="27"/>
      <c r="J341" s="27"/>
    </row>
    <row r="342" ht="14.25" customHeight="1">
      <c r="I342" s="27"/>
      <c r="J342" s="27"/>
    </row>
    <row r="343" ht="14.25" customHeight="1">
      <c r="I343" s="27"/>
      <c r="J343" s="27"/>
    </row>
    <row r="344" ht="14.25" customHeight="1">
      <c r="I344" s="27"/>
      <c r="J344" s="27"/>
    </row>
    <row r="345" ht="14.25" customHeight="1">
      <c r="I345" s="27"/>
      <c r="J345" s="27"/>
    </row>
    <row r="346" ht="14.25" customHeight="1">
      <c r="I346" s="27"/>
      <c r="J346" s="27"/>
    </row>
    <row r="347" ht="14.25" customHeight="1">
      <c r="I347" s="27"/>
      <c r="J347" s="27"/>
    </row>
    <row r="348" ht="14.25" customHeight="1">
      <c r="I348" s="27"/>
      <c r="J348" s="27"/>
    </row>
    <row r="349" ht="14.25" customHeight="1">
      <c r="I349" s="27"/>
      <c r="J349" s="27"/>
    </row>
    <row r="350" ht="14.25" customHeight="1">
      <c r="I350" s="27"/>
      <c r="J350" s="27"/>
    </row>
    <row r="351" ht="14.25" customHeight="1">
      <c r="I351" s="27"/>
      <c r="J351" s="27"/>
    </row>
    <row r="352" ht="14.25" customHeight="1">
      <c r="I352" s="27"/>
      <c r="J352" s="27"/>
    </row>
    <row r="353" ht="14.25" customHeight="1">
      <c r="I353" s="27"/>
      <c r="J353" s="27"/>
    </row>
    <row r="354" ht="14.25" customHeight="1">
      <c r="I354" s="27"/>
      <c r="J354" s="27"/>
    </row>
    <row r="355" ht="14.25" customHeight="1">
      <c r="I355" s="27"/>
      <c r="J355" s="27"/>
    </row>
    <row r="356" ht="14.25" customHeight="1">
      <c r="I356" s="27"/>
      <c r="J356" s="27"/>
    </row>
    <row r="357" ht="14.25" customHeight="1">
      <c r="I357" s="27"/>
      <c r="J357" s="27"/>
    </row>
    <row r="358" ht="14.25" customHeight="1">
      <c r="I358" s="27"/>
      <c r="J358" s="27"/>
    </row>
    <row r="359" ht="14.25" customHeight="1">
      <c r="I359" s="27"/>
      <c r="J359" s="27"/>
    </row>
    <row r="360" ht="14.25" customHeight="1">
      <c r="I360" s="27"/>
      <c r="J360" s="27"/>
    </row>
    <row r="361" ht="14.25" customHeight="1">
      <c r="I361" s="27"/>
      <c r="J361" s="27"/>
    </row>
    <row r="362" ht="14.25" customHeight="1">
      <c r="I362" s="27"/>
      <c r="J362" s="27"/>
    </row>
    <row r="363" ht="14.25" customHeight="1">
      <c r="I363" s="27"/>
      <c r="J363" s="27"/>
    </row>
    <row r="364" ht="14.25" customHeight="1">
      <c r="I364" s="27"/>
      <c r="J364" s="27"/>
    </row>
    <row r="365" ht="14.25" customHeight="1">
      <c r="I365" s="27"/>
      <c r="J365" s="27"/>
    </row>
    <row r="366" ht="14.25" customHeight="1">
      <c r="I366" s="27"/>
      <c r="J366" s="27"/>
    </row>
    <row r="367" ht="14.25" customHeight="1">
      <c r="I367" s="27"/>
      <c r="J367" s="27"/>
    </row>
    <row r="368" ht="14.25" customHeight="1">
      <c r="I368" s="27"/>
      <c r="J368" s="27"/>
    </row>
    <row r="369" ht="14.25" customHeight="1">
      <c r="I369" s="27"/>
      <c r="J369" s="27"/>
    </row>
    <row r="370" ht="14.25" customHeight="1">
      <c r="I370" s="27"/>
      <c r="J370" s="27"/>
    </row>
    <row r="371" ht="14.25" customHeight="1">
      <c r="I371" s="27"/>
      <c r="J371" s="27"/>
    </row>
    <row r="372" ht="14.25" customHeight="1">
      <c r="I372" s="27"/>
      <c r="J372" s="27"/>
    </row>
    <row r="373" ht="14.25" customHeight="1">
      <c r="I373" s="27"/>
      <c r="J373" s="27"/>
    </row>
    <row r="374" ht="14.25" customHeight="1">
      <c r="I374" s="27"/>
      <c r="J374" s="27"/>
    </row>
    <row r="375" ht="14.25" customHeight="1">
      <c r="I375" s="27"/>
      <c r="J375" s="27"/>
    </row>
    <row r="376" ht="14.25" customHeight="1">
      <c r="I376" s="27"/>
      <c r="J376" s="27"/>
    </row>
    <row r="377" ht="14.25" customHeight="1">
      <c r="I377" s="27"/>
      <c r="J377" s="27"/>
    </row>
    <row r="378" ht="14.25" customHeight="1">
      <c r="I378" s="27"/>
      <c r="J378" s="27"/>
    </row>
    <row r="379" ht="14.25" customHeight="1">
      <c r="I379" s="27"/>
      <c r="J379" s="27"/>
    </row>
    <row r="380" ht="14.25" customHeight="1">
      <c r="I380" s="27"/>
      <c r="J380" s="27"/>
    </row>
    <row r="381" ht="14.25" customHeight="1">
      <c r="I381" s="27"/>
      <c r="J381" s="27"/>
    </row>
    <row r="382" ht="14.25" customHeight="1">
      <c r="I382" s="27"/>
      <c r="J382" s="27"/>
    </row>
    <row r="383" ht="14.25" customHeight="1">
      <c r="I383" s="27"/>
      <c r="J383" s="27"/>
    </row>
    <row r="384" ht="14.25" customHeight="1">
      <c r="I384" s="27"/>
      <c r="J384" s="27"/>
    </row>
    <row r="385" ht="14.25" customHeight="1">
      <c r="I385" s="27"/>
      <c r="J385" s="27"/>
    </row>
    <row r="386" ht="14.25" customHeight="1">
      <c r="I386" s="27"/>
      <c r="J386" s="27"/>
    </row>
    <row r="387" ht="14.25" customHeight="1">
      <c r="I387" s="27"/>
      <c r="J387" s="27"/>
    </row>
    <row r="388" ht="14.25" customHeight="1">
      <c r="I388" s="27"/>
      <c r="J388" s="27"/>
    </row>
    <row r="389" ht="14.25" customHeight="1">
      <c r="I389" s="27"/>
      <c r="J389" s="27"/>
    </row>
    <row r="390" ht="14.25" customHeight="1">
      <c r="I390" s="27"/>
      <c r="J390" s="27"/>
    </row>
    <row r="391" ht="14.25" customHeight="1">
      <c r="I391" s="27"/>
      <c r="J391" s="27"/>
    </row>
    <row r="392" ht="14.25" customHeight="1">
      <c r="I392" s="27"/>
      <c r="J392" s="27"/>
    </row>
    <row r="393" ht="14.25" customHeight="1">
      <c r="I393" s="27"/>
      <c r="J393" s="27"/>
    </row>
    <row r="394" ht="14.25" customHeight="1">
      <c r="I394" s="27"/>
      <c r="J394" s="27"/>
    </row>
    <row r="395" ht="14.25" customHeight="1">
      <c r="I395" s="27"/>
      <c r="J395" s="27"/>
    </row>
    <row r="396" ht="14.25" customHeight="1">
      <c r="I396" s="27"/>
      <c r="J396" s="27"/>
    </row>
    <row r="397" ht="14.25" customHeight="1">
      <c r="I397" s="27"/>
      <c r="J397" s="27"/>
    </row>
    <row r="398" ht="14.25" customHeight="1">
      <c r="I398" s="27"/>
      <c r="J398" s="27"/>
    </row>
    <row r="399" ht="14.25" customHeight="1">
      <c r="I399" s="27"/>
      <c r="J399" s="27"/>
    </row>
    <row r="400" ht="14.25" customHeight="1">
      <c r="I400" s="27"/>
      <c r="J400" s="27"/>
    </row>
    <row r="401" ht="14.25" customHeight="1">
      <c r="I401" s="27"/>
      <c r="J401" s="27"/>
    </row>
    <row r="402" ht="14.25" customHeight="1">
      <c r="I402" s="27"/>
      <c r="J402" s="27"/>
    </row>
    <row r="403" ht="14.25" customHeight="1">
      <c r="I403" s="27"/>
      <c r="J403" s="27"/>
    </row>
    <row r="404" ht="14.25" customHeight="1">
      <c r="I404" s="27"/>
      <c r="J404" s="27"/>
    </row>
    <row r="405" ht="14.25" customHeight="1">
      <c r="I405" s="27"/>
      <c r="J405" s="27"/>
    </row>
    <row r="406" ht="14.25" customHeight="1">
      <c r="I406" s="27"/>
      <c r="J406" s="27"/>
    </row>
    <row r="407" ht="14.25" customHeight="1">
      <c r="I407" s="27"/>
      <c r="J407" s="27"/>
    </row>
    <row r="408" ht="14.25" customHeight="1">
      <c r="I408" s="27"/>
      <c r="J408" s="27"/>
    </row>
    <row r="409" ht="14.25" customHeight="1">
      <c r="I409" s="27"/>
      <c r="J409" s="27"/>
    </row>
    <row r="410" ht="14.25" customHeight="1">
      <c r="I410" s="27"/>
      <c r="J410" s="27"/>
    </row>
    <row r="411" ht="14.25" customHeight="1">
      <c r="I411" s="27"/>
      <c r="J411" s="27"/>
    </row>
    <row r="412" ht="14.25" customHeight="1">
      <c r="I412" s="27"/>
      <c r="J412" s="27"/>
    </row>
    <row r="413" ht="14.25" customHeight="1">
      <c r="I413" s="27"/>
      <c r="J413" s="27"/>
    </row>
    <row r="414" ht="14.25" customHeight="1">
      <c r="I414" s="27"/>
      <c r="J414" s="27"/>
    </row>
    <row r="415" ht="14.25" customHeight="1">
      <c r="I415" s="27"/>
      <c r="J415" s="27"/>
    </row>
    <row r="416" ht="14.25" customHeight="1">
      <c r="I416" s="27"/>
      <c r="J416" s="27"/>
    </row>
    <row r="417" ht="14.25" customHeight="1">
      <c r="I417" s="27"/>
      <c r="J417" s="27"/>
    </row>
    <row r="418" ht="14.25" customHeight="1">
      <c r="I418" s="27"/>
      <c r="J418" s="27"/>
    </row>
    <row r="419" ht="14.25" customHeight="1">
      <c r="I419" s="27"/>
      <c r="J419" s="27"/>
    </row>
    <row r="420" ht="14.25" customHeight="1">
      <c r="I420" s="27"/>
      <c r="J420" s="27"/>
    </row>
    <row r="421" ht="14.25" customHeight="1">
      <c r="I421" s="27"/>
      <c r="J421" s="27"/>
    </row>
    <row r="422" ht="14.25" customHeight="1">
      <c r="I422" s="27"/>
      <c r="J422" s="27"/>
    </row>
    <row r="423" ht="14.25" customHeight="1">
      <c r="I423" s="27"/>
      <c r="J423" s="27"/>
    </row>
    <row r="424" ht="14.25" customHeight="1">
      <c r="I424" s="27"/>
      <c r="J424" s="27"/>
    </row>
    <row r="425" ht="14.25" customHeight="1">
      <c r="I425" s="27"/>
      <c r="J425" s="27"/>
    </row>
    <row r="426" ht="14.25" customHeight="1">
      <c r="I426" s="27"/>
      <c r="J426" s="27"/>
    </row>
    <row r="427" ht="14.25" customHeight="1">
      <c r="I427" s="27"/>
      <c r="J427" s="27"/>
    </row>
    <row r="428" ht="14.25" customHeight="1">
      <c r="I428" s="27"/>
      <c r="J428" s="27"/>
    </row>
    <row r="429" ht="14.25" customHeight="1">
      <c r="I429" s="27"/>
      <c r="J429" s="27"/>
    </row>
    <row r="430" ht="14.25" customHeight="1">
      <c r="I430" s="27"/>
      <c r="J430" s="27"/>
    </row>
    <row r="431" ht="14.25" customHeight="1">
      <c r="I431" s="27"/>
      <c r="J431" s="27"/>
    </row>
    <row r="432" ht="14.25" customHeight="1">
      <c r="I432" s="27"/>
      <c r="J432" s="27"/>
    </row>
    <row r="433" ht="14.25" customHeight="1">
      <c r="I433" s="27"/>
      <c r="J433" s="27"/>
    </row>
    <row r="434" ht="14.25" customHeight="1">
      <c r="I434" s="27"/>
      <c r="J434" s="27"/>
    </row>
    <row r="435" ht="14.25" customHeight="1">
      <c r="I435" s="27"/>
      <c r="J435" s="27"/>
    </row>
    <row r="436" ht="14.25" customHeight="1">
      <c r="I436" s="27"/>
      <c r="J436" s="27"/>
    </row>
    <row r="437" ht="14.25" customHeight="1">
      <c r="I437" s="27"/>
      <c r="J437" s="27"/>
    </row>
    <row r="438" ht="14.25" customHeight="1">
      <c r="I438" s="27"/>
      <c r="J438" s="27"/>
    </row>
    <row r="439" ht="14.25" customHeight="1">
      <c r="I439" s="27"/>
      <c r="J439" s="27"/>
    </row>
    <row r="440" ht="14.25" customHeight="1">
      <c r="I440" s="27"/>
      <c r="J440" s="27"/>
    </row>
    <row r="441" ht="14.25" customHeight="1">
      <c r="I441" s="27"/>
      <c r="J441" s="27"/>
    </row>
    <row r="442" ht="14.25" customHeight="1">
      <c r="I442" s="27"/>
      <c r="J442" s="27"/>
    </row>
    <row r="443" ht="14.25" customHeight="1">
      <c r="I443" s="27"/>
      <c r="J443" s="27"/>
    </row>
    <row r="444" ht="14.25" customHeight="1">
      <c r="I444" s="27"/>
      <c r="J444" s="27"/>
    </row>
    <row r="445" ht="14.25" customHeight="1">
      <c r="I445" s="27"/>
      <c r="J445" s="27"/>
    </row>
    <row r="446" ht="14.25" customHeight="1">
      <c r="I446" s="27"/>
      <c r="J446" s="27"/>
    </row>
    <row r="447" ht="14.25" customHeight="1">
      <c r="I447" s="27"/>
      <c r="J447" s="27"/>
    </row>
    <row r="448" ht="14.25" customHeight="1">
      <c r="I448" s="27"/>
      <c r="J448" s="27"/>
    </row>
    <row r="449" ht="14.25" customHeight="1">
      <c r="I449" s="27"/>
      <c r="J449" s="27"/>
    </row>
    <row r="450" ht="14.25" customHeight="1">
      <c r="I450" s="27"/>
      <c r="J450" s="27"/>
    </row>
    <row r="451" ht="14.25" customHeight="1">
      <c r="I451" s="27"/>
      <c r="J451" s="27"/>
    </row>
    <row r="452" ht="14.25" customHeight="1">
      <c r="I452" s="27"/>
      <c r="J452" s="27"/>
    </row>
    <row r="453" ht="14.25" customHeight="1">
      <c r="I453" s="27"/>
      <c r="J453" s="27"/>
    </row>
    <row r="454" ht="14.25" customHeight="1">
      <c r="I454" s="27"/>
      <c r="J454" s="27"/>
    </row>
    <row r="455" ht="14.25" customHeight="1">
      <c r="I455" s="27"/>
      <c r="J455" s="27"/>
    </row>
    <row r="456" ht="14.25" customHeight="1">
      <c r="I456" s="27"/>
      <c r="J456" s="27"/>
    </row>
    <row r="457" ht="14.25" customHeight="1">
      <c r="I457" s="27"/>
      <c r="J457" s="27"/>
    </row>
    <row r="458" ht="14.25" customHeight="1">
      <c r="I458" s="27"/>
      <c r="J458" s="27"/>
    </row>
    <row r="459" ht="14.25" customHeight="1">
      <c r="I459" s="27"/>
      <c r="J459" s="27"/>
    </row>
    <row r="460" ht="14.25" customHeight="1">
      <c r="I460" s="27"/>
      <c r="J460" s="27"/>
    </row>
    <row r="461" ht="14.25" customHeight="1">
      <c r="I461" s="27"/>
      <c r="J461" s="27"/>
    </row>
    <row r="462" ht="14.25" customHeight="1">
      <c r="I462" s="27"/>
      <c r="J462" s="27"/>
    </row>
    <row r="463" ht="14.25" customHeight="1">
      <c r="I463" s="27"/>
      <c r="J463" s="27"/>
    </row>
    <row r="464" ht="14.25" customHeight="1">
      <c r="I464" s="27"/>
      <c r="J464" s="27"/>
    </row>
    <row r="465" ht="14.25" customHeight="1">
      <c r="I465" s="27"/>
      <c r="J465" s="27"/>
    </row>
    <row r="466" ht="14.25" customHeight="1">
      <c r="I466" s="27"/>
      <c r="J466" s="27"/>
    </row>
    <row r="467" ht="14.25" customHeight="1">
      <c r="I467" s="27"/>
      <c r="J467" s="27"/>
    </row>
    <row r="468" ht="14.25" customHeight="1">
      <c r="I468" s="27"/>
      <c r="J468" s="27"/>
    </row>
    <row r="469" ht="14.25" customHeight="1">
      <c r="I469" s="27"/>
      <c r="J469" s="27"/>
    </row>
    <row r="470" ht="14.25" customHeight="1">
      <c r="I470" s="27"/>
      <c r="J470" s="27"/>
    </row>
    <row r="471" ht="14.25" customHeight="1">
      <c r="I471" s="27"/>
      <c r="J471" s="27"/>
    </row>
    <row r="472" ht="14.25" customHeight="1">
      <c r="I472" s="27"/>
      <c r="J472" s="27"/>
    </row>
    <row r="473" ht="14.25" customHeight="1">
      <c r="I473" s="27"/>
      <c r="J473" s="27"/>
    </row>
    <row r="474" ht="14.25" customHeight="1">
      <c r="I474" s="27"/>
      <c r="J474" s="27"/>
    </row>
    <row r="475" ht="14.25" customHeight="1">
      <c r="I475" s="27"/>
      <c r="J475" s="27"/>
    </row>
    <row r="476" ht="14.25" customHeight="1">
      <c r="I476" s="27"/>
      <c r="J476" s="27"/>
    </row>
    <row r="477" ht="14.25" customHeight="1">
      <c r="I477" s="27"/>
      <c r="J477" s="27"/>
    </row>
    <row r="478" ht="14.25" customHeight="1">
      <c r="I478" s="27"/>
      <c r="J478" s="27"/>
    </row>
    <row r="479" ht="14.25" customHeight="1">
      <c r="I479" s="27"/>
      <c r="J479" s="27"/>
    </row>
    <row r="480" ht="14.25" customHeight="1">
      <c r="I480" s="27"/>
      <c r="J480" s="27"/>
    </row>
    <row r="481" ht="14.25" customHeight="1">
      <c r="I481" s="27"/>
      <c r="J481" s="27"/>
    </row>
    <row r="482" ht="14.25" customHeight="1">
      <c r="I482" s="27"/>
      <c r="J482" s="27"/>
    </row>
    <row r="483" ht="14.25" customHeight="1">
      <c r="I483" s="27"/>
      <c r="J483" s="27"/>
    </row>
    <row r="484" ht="14.25" customHeight="1">
      <c r="I484" s="27"/>
      <c r="J484" s="27"/>
    </row>
    <row r="485" ht="14.25" customHeight="1">
      <c r="I485" s="27"/>
      <c r="J485" s="27"/>
    </row>
    <row r="486" ht="14.25" customHeight="1">
      <c r="I486" s="27"/>
      <c r="J486" s="27"/>
    </row>
    <row r="487" ht="14.25" customHeight="1">
      <c r="I487" s="27"/>
      <c r="J487" s="27"/>
    </row>
    <row r="488" ht="14.25" customHeight="1">
      <c r="I488" s="27"/>
      <c r="J488" s="27"/>
    </row>
    <row r="489" ht="14.25" customHeight="1">
      <c r="I489" s="27"/>
      <c r="J489" s="27"/>
    </row>
    <row r="490" ht="14.25" customHeight="1">
      <c r="I490" s="27"/>
      <c r="J490" s="27"/>
    </row>
    <row r="491" ht="14.25" customHeight="1">
      <c r="I491" s="27"/>
      <c r="J491" s="27"/>
    </row>
    <row r="492" ht="14.25" customHeight="1">
      <c r="I492" s="27"/>
      <c r="J492" s="27"/>
    </row>
    <row r="493" ht="14.25" customHeight="1">
      <c r="I493" s="27"/>
      <c r="J493" s="27"/>
    </row>
    <row r="494" ht="14.25" customHeight="1">
      <c r="I494" s="27"/>
      <c r="J494" s="27"/>
    </row>
    <row r="495" ht="14.25" customHeight="1">
      <c r="I495" s="27"/>
      <c r="J495" s="27"/>
    </row>
    <row r="496" ht="14.25" customHeight="1">
      <c r="I496" s="27"/>
      <c r="J496" s="27"/>
    </row>
    <row r="497" ht="14.25" customHeight="1">
      <c r="I497" s="27"/>
      <c r="J497" s="27"/>
    </row>
    <row r="498" ht="14.25" customHeight="1">
      <c r="I498" s="27"/>
      <c r="J498" s="27"/>
    </row>
    <row r="499" ht="14.25" customHeight="1">
      <c r="I499" s="27"/>
      <c r="J499" s="27"/>
    </row>
    <row r="500" ht="14.25" customHeight="1">
      <c r="I500" s="27"/>
      <c r="J500" s="27"/>
    </row>
    <row r="501" ht="14.25" customHeight="1">
      <c r="I501" s="27"/>
      <c r="J501" s="27"/>
    </row>
    <row r="502" ht="14.25" customHeight="1">
      <c r="I502" s="27"/>
      <c r="J502" s="27"/>
    </row>
    <row r="503" ht="14.25" customHeight="1">
      <c r="I503" s="27"/>
      <c r="J503" s="27"/>
    </row>
    <row r="504" ht="14.25" customHeight="1">
      <c r="I504" s="27"/>
      <c r="J504" s="27"/>
    </row>
    <row r="505" ht="14.25" customHeight="1">
      <c r="I505" s="27"/>
      <c r="J505" s="27"/>
    </row>
    <row r="506" ht="14.25" customHeight="1">
      <c r="I506" s="27"/>
      <c r="J506" s="27"/>
    </row>
    <row r="507" ht="14.25" customHeight="1">
      <c r="I507" s="27"/>
      <c r="J507" s="27"/>
    </row>
    <row r="508" ht="14.25" customHeight="1">
      <c r="I508" s="27"/>
      <c r="J508" s="27"/>
    </row>
    <row r="509" ht="14.25" customHeight="1">
      <c r="I509" s="27"/>
      <c r="J509" s="27"/>
    </row>
    <row r="510" ht="14.25" customHeight="1">
      <c r="I510" s="27"/>
      <c r="J510" s="27"/>
    </row>
    <row r="511" ht="14.25" customHeight="1">
      <c r="I511" s="27"/>
      <c r="J511" s="27"/>
    </row>
    <row r="512" ht="14.25" customHeight="1">
      <c r="I512" s="27"/>
      <c r="J512" s="27"/>
    </row>
    <row r="513" ht="14.25" customHeight="1">
      <c r="I513" s="27"/>
      <c r="J513" s="27"/>
    </row>
    <row r="514" ht="14.25" customHeight="1">
      <c r="I514" s="27"/>
      <c r="J514" s="27"/>
    </row>
    <row r="515" ht="14.25" customHeight="1">
      <c r="I515" s="27"/>
      <c r="J515" s="27"/>
    </row>
    <row r="516" ht="14.25" customHeight="1">
      <c r="I516" s="27"/>
      <c r="J516" s="27"/>
    </row>
    <row r="517" ht="14.25" customHeight="1">
      <c r="I517" s="27"/>
      <c r="J517" s="27"/>
    </row>
    <row r="518" ht="14.25" customHeight="1">
      <c r="I518" s="27"/>
      <c r="J518" s="27"/>
    </row>
    <row r="519" ht="14.25" customHeight="1">
      <c r="I519" s="27"/>
      <c r="J519" s="27"/>
    </row>
    <row r="520" ht="14.25" customHeight="1">
      <c r="I520" s="27"/>
      <c r="J520" s="27"/>
    </row>
    <row r="521" ht="14.25" customHeight="1">
      <c r="I521" s="27"/>
      <c r="J521" s="27"/>
    </row>
    <row r="522" ht="14.25" customHeight="1">
      <c r="I522" s="27"/>
      <c r="J522" s="27"/>
    </row>
    <row r="523" ht="14.25" customHeight="1">
      <c r="I523" s="27"/>
      <c r="J523" s="27"/>
    </row>
    <row r="524" ht="14.25" customHeight="1">
      <c r="I524" s="27"/>
      <c r="J524" s="27"/>
    </row>
    <row r="525" ht="14.25" customHeight="1">
      <c r="I525" s="27"/>
      <c r="J525" s="27"/>
    </row>
    <row r="526" ht="14.25" customHeight="1">
      <c r="I526" s="27"/>
      <c r="J526" s="27"/>
    </row>
    <row r="527" ht="14.25" customHeight="1">
      <c r="I527" s="27"/>
      <c r="J527" s="27"/>
    </row>
    <row r="528" ht="14.25" customHeight="1">
      <c r="I528" s="27"/>
      <c r="J528" s="27"/>
    </row>
    <row r="529" ht="14.25" customHeight="1">
      <c r="I529" s="27"/>
      <c r="J529" s="27"/>
    </row>
    <row r="530" ht="14.25" customHeight="1">
      <c r="I530" s="27"/>
      <c r="J530" s="27"/>
    </row>
    <row r="531" ht="14.25" customHeight="1">
      <c r="I531" s="27"/>
      <c r="J531" s="27"/>
    </row>
    <row r="532" ht="14.25" customHeight="1">
      <c r="I532" s="27"/>
      <c r="J532" s="27"/>
    </row>
    <row r="533" ht="14.25" customHeight="1">
      <c r="I533" s="27"/>
      <c r="J533" s="27"/>
    </row>
    <row r="534" ht="14.25" customHeight="1">
      <c r="I534" s="27"/>
      <c r="J534" s="27"/>
    </row>
    <row r="535" ht="14.25" customHeight="1">
      <c r="I535" s="27"/>
      <c r="J535" s="27"/>
    </row>
    <row r="536" ht="14.25" customHeight="1">
      <c r="I536" s="27"/>
      <c r="J536" s="27"/>
    </row>
    <row r="537" ht="14.25" customHeight="1">
      <c r="I537" s="27"/>
      <c r="J537" s="27"/>
    </row>
    <row r="538" ht="14.25" customHeight="1">
      <c r="I538" s="27"/>
      <c r="J538" s="27"/>
    </row>
    <row r="539" ht="14.25" customHeight="1">
      <c r="I539" s="27"/>
      <c r="J539" s="27"/>
    </row>
    <row r="540" ht="14.25" customHeight="1">
      <c r="I540" s="27"/>
      <c r="J540" s="27"/>
    </row>
    <row r="541" ht="14.25" customHeight="1">
      <c r="I541" s="27"/>
      <c r="J541" s="27"/>
    </row>
    <row r="542" ht="14.25" customHeight="1">
      <c r="I542" s="27"/>
      <c r="J542" s="27"/>
    </row>
    <row r="543" ht="14.25" customHeight="1">
      <c r="I543" s="27"/>
      <c r="J543" s="27"/>
    </row>
    <row r="544" ht="14.25" customHeight="1">
      <c r="I544" s="27"/>
      <c r="J544" s="27"/>
    </row>
    <row r="545" ht="14.25" customHeight="1">
      <c r="I545" s="27"/>
      <c r="J545" s="27"/>
    </row>
    <row r="546" ht="14.25" customHeight="1">
      <c r="I546" s="27"/>
      <c r="J546" s="27"/>
    </row>
    <row r="547" ht="14.25" customHeight="1">
      <c r="I547" s="27"/>
      <c r="J547" s="27"/>
    </row>
    <row r="548" ht="14.25" customHeight="1">
      <c r="I548" s="27"/>
      <c r="J548" s="27"/>
    </row>
    <row r="549" ht="14.25" customHeight="1">
      <c r="I549" s="27"/>
      <c r="J549" s="27"/>
    </row>
    <row r="550" ht="14.25" customHeight="1">
      <c r="I550" s="27"/>
      <c r="J550" s="27"/>
    </row>
    <row r="551" ht="14.25" customHeight="1">
      <c r="I551" s="27"/>
      <c r="J551" s="27"/>
    </row>
    <row r="552" ht="14.25" customHeight="1">
      <c r="I552" s="27"/>
      <c r="J552" s="27"/>
    </row>
    <row r="553" ht="14.25" customHeight="1">
      <c r="I553" s="27"/>
      <c r="J553" s="27"/>
    </row>
    <row r="554" ht="14.25" customHeight="1">
      <c r="I554" s="27"/>
      <c r="J554" s="27"/>
    </row>
    <row r="555" ht="14.25" customHeight="1">
      <c r="I555" s="27"/>
      <c r="J555" s="27"/>
    </row>
    <row r="556" ht="14.25" customHeight="1">
      <c r="I556" s="27"/>
      <c r="J556" s="27"/>
    </row>
    <row r="557" ht="14.25" customHeight="1">
      <c r="I557" s="27"/>
      <c r="J557" s="27"/>
    </row>
    <row r="558" ht="14.25" customHeight="1">
      <c r="I558" s="27"/>
      <c r="J558" s="27"/>
    </row>
    <row r="559" ht="14.25" customHeight="1">
      <c r="I559" s="27"/>
      <c r="J559" s="27"/>
    </row>
    <row r="560" ht="14.25" customHeight="1">
      <c r="I560" s="27"/>
      <c r="J560" s="27"/>
    </row>
    <row r="561" ht="14.25" customHeight="1">
      <c r="I561" s="27"/>
      <c r="J561" s="27"/>
    </row>
    <row r="562" ht="14.25" customHeight="1">
      <c r="I562" s="27"/>
      <c r="J562" s="27"/>
    </row>
    <row r="563" ht="14.25" customHeight="1">
      <c r="I563" s="27"/>
      <c r="J563" s="27"/>
    </row>
    <row r="564" ht="14.25" customHeight="1">
      <c r="I564" s="27"/>
      <c r="J564" s="27"/>
    </row>
    <row r="565" ht="14.25" customHeight="1">
      <c r="I565" s="27"/>
      <c r="J565" s="27"/>
    </row>
    <row r="566" ht="14.25" customHeight="1">
      <c r="I566" s="27"/>
      <c r="J566" s="27"/>
    </row>
    <row r="567" ht="14.25" customHeight="1">
      <c r="I567" s="27"/>
      <c r="J567" s="27"/>
    </row>
    <row r="568" ht="14.25" customHeight="1">
      <c r="I568" s="27"/>
      <c r="J568" s="27"/>
    </row>
    <row r="569" ht="14.25" customHeight="1">
      <c r="I569" s="27"/>
      <c r="J569" s="27"/>
    </row>
    <row r="570" ht="14.25" customHeight="1">
      <c r="I570" s="27"/>
      <c r="J570" s="27"/>
    </row>
    <row r="571" ht="14.25" customHeight="1">
      <c r="I571" s="27"/>
      <c r="J571" s="27"/>
    </row>
    <row r="572" ht="14.25" customHeight="1">
      <c r="I572" s="27"/>
      <c r="J572" s="27"/>
    </row>
    <row r="573" ht="14.25" customHeight="1">
      <c r="I573" s="27"/>
      <c r="J573" s="27"/>
    </row>
    <row r="574" ht="14.25" customHeight="1">
      <c r="I574" s="27"/>
      <c r="J574" s="27"/>
    </row>
    <row r="575" ht="14.25" customHeight="1">
      <c r="I575" s="27"/>
      <c r="J575" s="27"/>
    </row>
    <row r="576" ht="14.25" customHeight="1">
      <c r="I576" s="27"/>
      <c r="J576" s="27"/>
    </row>
    <row r="577" ht="14.25" customHeight="1">
      <c r="I577" s="27"/>
      <c r="J577" s="27"/>
    </row>
    <row r="578" ht="14.25" customHeight="1">
      <c r="I578" s="27"/>
      <c r="J578" s="27"/>
    </row>
    <row r="579" ht="14.25" customHeight="1">
      <c r="I579" s="27"/>
      <c r="J579" s="27"/>
    </row>
    <row r="580" ht="14.25" customHeight="1">
      <c r="I580" s="27"/>
      <c r="J580" s="27"/>
    </row>
    <row r="581" ht="14.25" customHeight="1">
      <c r="I581" s="27"/>
      <c r="J581" s="27"/>
    </row>
    <row r="582" ht="14.25" customHeight="1">
      <c r="I582" s="27"/>
      <c r="J582" s="27"/>
    </row>
    <row r="583" ht="14.25" customHeight="1">
      <c r="I583" s="27"/>
      <c r="J583" s="27"/>
    </row>
    <row r="584" ht="14.25" customHeight="1">
      <c r="I584" s="27"/>
      <c r="J584" s="27"/>
    </row>
    <row r="585" ht="14.25" customHeight="1">
      <c r="I585" s="27"/>
      <c r="J585" s="27"/>
    </row>
    <row r="586" ht="14.25" customHeight="1">
      <c r="I586" s="27"/>
      <c r="J586" s="27"/>
    </row>
    <row r="587" ht="14.25" customHeight="1">
      <c r="I587" s="27"/>
      <c r="J587" s="27"/>
    </row>
    <row r="588" ht="14.25" customHeight="1">
      <c r="I588" s="27"/>
      <c r="J588" s="27"/>
    </row>
    <row r="589" ht="14.25" customHeight="1">
      <c r="I589" s="27"/>
      <c r="J589" s="27"/>
    </row>
    <row r="590" ht="14.25" customHeight="1">
      <c r="I590" s="27"/>
      <c r="J590" s="27"/>
    </row>
    <row r="591" ht="14.25" customHeight="1">
      <c r="I591" s="27"/>
      <c r="J591" s="27"/>
    </row>
    <row r="592" ht="14.25" customHeight="1">
      <c r="I592" s="27"/>
      <c r="J592" s="27"/>
    </row>
    <row r="593" ht="14.25" customHeight="1">
      <c r="I593" s="27"/>
      <c r="J593" s="27"/>
    </row>
    <row r="594" ht="14.25" customHeight="1">
      <c r="I594" s="27"/>
      <c r="J594" s="27"/>
    </row>
    <row r="595" ht="14.25" customHeight="1">
      <c r="I595" s="27"/>
      <c r="J595" s="27"/>
    </row>
    <row r="596" ht="14.25" customHeight="1">
      <c r="I596" s="27"/>
      <c r="J596" s="27"/>
    </row>
    <row r="597" ht="14.25" customHeight="1">
      <c r="I597" s="27"/>
      <c r="J597" s="27"/>
    </row>
    <row r="598" ht="14.25" customHeight="1">
      <c r="I598" s="27"/>
      <c r="J598" s="27"/>
    </row>
    <row r="599" ht="14.25" customHeight="1">
      <c r="I599" s="27"/>
      <c r="J599" s="27"/>
    </row>
    <row r="600" ht="14.25" customHeight="1">
      <c r="I600" s="27"/>
      <c r="J600" s="27"/>
    </row>
    <row r="601" ht="14.25" customHeight="1">
      <c r="I601" s="27"/>
      <c r="J601" s="27"/>
    </row>
    <row r="602" ht="14.25" customHeight="1">
      <c r="I602" s="27"/>
      <c r="J602" s="27"/>
    </row>
    <row r="603" ht="14.25" customHeight="1">
      <c r="I603" s="27"/>
      <c r="J603" s="27"/>
    </row>
    <row r="604" ht="14.25" customHeight="1">
      <c r="I604" s="27"/>
      <c r="J604" s="27"/>
    </row>
    <row r="605" ht="14.25" customHeight="1">
      <c r="I605" s="27"/>
      <c r="J605" s="27"/>
    </row>
    <row r="606" ht="14.25" customHeight="1">
      <c r="I606" s="27"/>
      <c r="J606" s="27"/>
    </row>
    <row r="607" ht="14.25" customHeight="1">
      <c r="I607" s="27"/>
      <c r="J607" s="27"/>
    </row>
    <row r="608" ht="14.25" customHeight="1">
      <c r="I608" s="27"/>
      <c r="J608" s="27"/>
    </row>
    <row r="609" ht="14.25" customHeight="1">
      <c r="I609" s="27"/>
      <c r="J609" s="27"/>
    </row>
    <row r="610" ht="14.25" customHeight="1">
      <c r="I610" s="27"/>
      <c r="J610" s="27"/>
    </row>
    <row r="611" ht="14.25" customHeight="1">
      <c r="I611" s="27"/>
      <c r="J611" s="27"/>
    </row>
    <row r="612" ht="14.25" customHeight="1">
      <c r="I612" s="27"/>
      <c r="J612" s="27"/>
    </row>
    <row r="613" ht="14.25" customHeight="1">
      <c r="I613" s="27"/>
      <c r="J613" s="27"/>
    </row>
    <row r="614" ht="14.25" customHeight="1">
      <c r="I614" s="27"/>
      <c r="J614" s="27"/>
    </row>
    <row r="615" ht="14.25" customHeight="1">
      <c r="I615" s="27"/>
      <c r="J615" s="27"/>
    </row>
    <row r="616" ht="14.25" customHeight="1">
      <c r="I616" s="27"/>
      <c r="J616" s="27"/>
    </row>
    <row r="617" ht="14.25" customHeight="1">
      <c r="I617" s="27"/>
      <c r="J617" s="27"/>
    </row>
    <row r="618" ht="14.25" customHeight="1">
      <c r="I618" s="27"/>
      <c r="J618" s="27"/>
    </row>
    <row r="619" ht="14.25" customHeight="1">
      <c r="I619" s="27"/>
      <c r="J619" s="27"/>
    </row>
    <row r="620" ht="14.25" customHeight="1">
      <c r="I620" s="27"/>
      <c r="J620" s="27"/>
    </row>
    <row r="621" ht="14.25" customHeight="1">
      <c r="I621" s="27"/>
      <c r="J621" s="27"/>
    </row>
    <row r="622" ht="14.25" customHeight="1">
      <c r="I622" s="27"/>
      <c r="J622" s="27"/>
    </row>
    <row r="623" ht="14.25" customHeight="1">
      <c r="I623" s="27"/>
      <c r="J623" s="27"/>
    </row>
    <row r="624" ht="14.25" customHeight="1">
      <c r="I624" s="27"/>
      <c r="J624" s="27"/>
    </row>
    <row r="625" ht="14.25" customHeight="1">
      <c r="I625" s="27"/>
      <c r="J625" s="27"/>
    </row>
    <row r="626" ht="14.25" customHeight="1">
      <c r="I626" s="27"/>
      <c r="J626" s="27"/>
    </row>
    <row r="627" ht="14.25" customHeight="1">
      <c r="I627" s="27"/>
      <c r="J627" s="27"/>
    </row>
    <row r="628" ht="14.25" customHeight="1">
      <c r="I628" s="27"/>
      <c r="J628" s="27"/>
    </row>
    <row r="629" ht="14.25" customHeight="1">
      <c r="I629" s="27"/>
      <c r="J629" s="27"/>
    </row>
    <row r="630" ht="14.25" customHeight="1">
      <c r="I630" s="27"/>
      <c r="J630" s="27"/>
    </row>
    <row r="631" ht="14.25" customHeight="1">
      <c r="I631" s="27"/>
      <c r="J631" s="27"/>
    </row>
    <row r="632" ht="14.25" customHeight="1">
      <c r="I632" s="27"/>
      <c r="J632" s="27"/>
    </row>
    <row r="633" ht="14.25" customHeight="1">
      <c r="I633" s="27"/>
      <c r="J633" s="27"/>
    </row>
    <row r="634" ht="14.25" customHeight="1">
      <c r="I634" s="27"/>
      <c r="J634" s="27"/>
    </row>
    <row r="635" ht="14.25" customHeight="1">
      <c r="I635" s="27"/>
      <c r="J635" s="27"/>
    </row>
    <row r="636" ht="14.25" customHeight="1">
      <c r="I636" s="27"/>
      <c r="J636" s="27"/>
    </row>
    <row r="637" ht="14.25" customHeight="1">
      <c r="I637" s="27"/>
      <c r="J637" s="27"/>
    </row>
    <row r="638" ht="14.25" customHeight="1">
      <c r="I638" s="27"/>
      <c r="J638" s="27"/>
    </row>
    <row r="639" ht="14.25" customHeight="1">
      <c r="I639" s="27"/>
      <c r="J639" s="27"/>
    </row>
    <row r="640" ht="14.25" customHeight="1">
      <c r="I640" s="27"/>
      <c r="J640" s="27"/>
    </row>
    <row r="641" ht="14.25" customHeight="1">
      <c r="I641" s="27"/>
      <c r="J641" s="27"/>
    </row>
    <row r="642" ht="14.25" customHeight="1">
      <c r="I642" s="27"/>
      <c r="J642" s="27"/>
    </row>
    <row r="643" ht="14.25" customHeight="1">
      <c r="I643" s="27"/>
      <c r="J643" s="27"/>
    </row>
    <row r="644" ht="14.25" customHeight="1">
      <c r="I644" s="27"/>
      <c r="J644" s="27"/>
    </row>
    <row r="645" ht="14.25" customHeight="1">
      <c r="I645" s="27"/>
      <c r="J645" s="27"/>
    </row>
    <row r="646" ht="14.25" customHeight="1">
      <c r="I646" s="27"/>
      <c r="J646" s="27"/>
    </row>
    <row r="647" ht="14.25" customHeight="1">
      <c r="I647" s="27"/>
      <c r="J647" s="27"/>
    </row>
    <row r="648" ht="14.25" customHeight="1">
      <c r="I648" s="27"/>
      <c r="J648" s="27"/>
    </row>
    <row r="649" ht="14.25" customHeight="1">
      <c r="I649" s="27"/>
      <c r="J649" s="27"/>
    </row>
    <row r="650" ht="14.25" customHeight="1">
      <c r="I650" s="27"/>
      <c r="J650" s="27"/>
    </row>
    <row r="651" ht="14.25" customHeight="1">
      <c r="I651" s="27"/>
      <c r="J651" s="27"/>
    </row>
    <row r="652" ht="14.25" customHeight="1">
      <c r="I652" s="27"/>
      <c r="J652" s="27"/>
    </row>
    <row r="653" ht="14.25" customHeight="1">
      <c r="I653" s="27"/>
      <c r="J653" s="27"/>
    </row>
    <row r="654" ht="14.25" customHeight="1">
      <c r="I654" s="27"/>
      <c r="J654" s="27"/>
    </row>
    <row r="655" ht="14.25" customHeight="1">
      <c r="I655" s="27"/>
      <c r="J655" s="27"/>
    </row>
    <row r="656" ht="14.25" customHeight="1">
      <c r="I656" s="27"/>
      <c r="J656" s="27"/>
    </row>
    <row r="657" ht="14.25" customHeight="1">
      <c r="I657" s="27"/>
      <c r="J657" s="27"/>
    </row>
    <row r="658" ht="14.25" customHeight="1">
      <c r="I658" s="27"/>
      <c r="J658" s="27"/>
    </row>
    <row r="659" ht="14.25" customHeight="1">
      <c r="I659" s="27"/>
      <c r="J659" s="27"/>
    </row>
    <row r="660" ht="14.25" customHeight="1">
      <c r="I660" s="27"/>
      <c r="J660" s="27"/>
    </row>
    <row r="661" ht="14.25" customHeight="1">
      <c r="I661" s="27"/>
      <c r="J661" s="27"/>
    </row>
    <row r="662" ht="14.25" customHeight="1">
      <c r="I662" s="27"/>
      <c r="J662" s="27"/>
    </row>
    <row r="663" ht="14.25" customHeight="1">
      <c r="I663" s="27"/>
      <c r="J663" s="27"/>
    </row>
    <row r="664" ht="14.25" customHeight="1">
      <c r="I664" s="27"/>
      <c r="J664" s="27"/>
    </row>
    <row r="665" ht="14.25" customHeight="1">
      <c r="I665" s="27"/>
      <c r="J665" s="27"/>
    </row>
    <row r="666" ht="14.25" customHeight="1">
      <c r="I666" s="27"/>
      <c r="J666" s="27"/>
    </row>
    <row r="667" ht="14.25" customHeight="1">
      <c r="I667" s="27"/>
      <c r="J667" s="27"/>
    </row>
    <row r="668" ht="14.25" customHeight="1">
      <c r="I668" s="27"/>
      <c r="J668" s="27"/>
    </row>
    <row r="669" ht="14.25" customHeight="1">
      <c r="I669" s="27"/>
      <c r="J669" s="27"/>
    </row>
    <row r="670" ht="14.25" customHeight="1">
      <c r="I670" s="27"/>
      <c r="J670" s="27"/>
    </row>
    <row r="671" ht="14.25" customHeight="1">
      <c r="I671" s="27"/>
      <c r="J671" s="27"/>
    </row>
    <row r="672" ht="14.25" customHeight="1">
      <c r="I672" s="27"/>
      <c r="J672" s="27"/>
    </row>
    <row r="673" ht="14.25" customHeight="1">
      <c r="I673" s="27"/>
      <c r="J673" s="27"/>
    </row>
    <row r="674" ht="14.25" customHeight="1">
      <c r="I674" s="27"/>
      <c r="J674" s="27"/>
    </row>
    <row r="675" ht="14.25" customHeight="1">
      <c r="I675" s="27"/>
      <c r="J675" s="27"/>
    </row>
    <row r="676" ht="14.25" customHeight="1">
      <c r="I676" s="27"/>
      <c r="J676" s="27"/>
    </row>
    <row r="677" ht="14.25" customHeight="1">
      <c r="I677" s="27"/>
      <c r="J677" s="27"/>
    </row>
    <row r="678" ht="14.25" customHeight="1">
      <c r="I678" s="27"/>
      <c r="J678" s="27"/>
    </row>
    <row r="679" ht="14.25" customHeight="1">
      <c r="I679" s="27"/>
      <c r="J679" s="27"/>
    </row>
    <row r="680" ht="14.25" customHeight="1">
      <c r="I680" s="27"/>
      <c r="J680" s="27"/>
    </row>
    <row r="681" ht="14.25" customHeight="1">
      <c r="I681" s="27"/>
      <c r="J681" s="27"/>
    </row>
    <row r="682" ht="14.25" customHeight="1">
      <c r="I682" s="27"/>
      <c r="J682" s="27"/>
    </row>
    <row r="683" ht="14.25" customHeight="1">
      <c r="I683" s="27"/>
      <c r="J683" s="27"/>
    </row>
    <row r="684" ht="14.25" customHeight="1">
      <c r="I684" s="27"/>
      <c r="J684" s="27"/>
    </row>
    <row r="685" ht="14.25" customHeight="1">
      <c r="I685" s="27"/>
      <c r="J685" s="27"/>
    </row>
    <row r="686" ht="14.25" customHeight="1">
      <c r="I686" s="27"/>
      <c r="J686" s="27"/>
    </row>
    <row r="687" ht="14.25" customHeight="1">
      <c r="I687" s="27"/>
      <c r="J687" s="27"/>
    </row>
    <row r="688" ht="14.25" customHeight="1">
      <c r="I688" s="27"/>
      <c r="J688" s="27"/>
    </row>
    <row r="689" ht="14.25" customHeight="1">
      <c r="I689" s="27"/>
      <c r="J689" s="27"/>
    </row>
    <row r="690" ht="14.25" customHeight="1">
      <c r="I690" s="27"/>
      <c r="J690" s="27"/>
    </row>
    <row r="691" ht="14.25" customHeight="1">
      <c r="I691" s="27"/>
      <c r="J691" s="27"/>
    </row>
    <row r="692" ht="14.25" customHeight="1">
      <c r="I692" s="27"/>
      <c r="J692" s="27"/>
    </row>
    <row r="693" ht="14.25" customHeight="1">
      <c r="I693" s="27"/>
      <c r="J693" s="27"/>
    </row>
    <row r="694" ht="14.25" customHeight="1">
      <c r="I694" s="27"/>
      <c r="J694" s="27"/>
    </row>
    <row r="695" ht="14.25" customHeight="1">
      <c r="I695" s="27"/>
      <c r="J695" s="27"/>
    </row>
    <row r="696" ht="14.25" customHeight="1">
      <c r="I696" s="27"/>
      <c r="J696" s="27"/>
    </row>
    <row r="697" ht="14.25" customHeight="1">
      <c r="I697" s="27"/>
      <c r="J697" s="27"/>
    </row>
    <row r="698" ht="14.25" customHeight="1">
      <c r="I698" s="27"/>
      <c r="J698" s="27"/>
    </row>
    <row r="699" ht="14.25" customHeight="1">
      <c r="I699" s="27"/>
      <c r="J699" s="27"/>
    </row>
    <row r="700" ht="14.25" customHeight="1">
      <c r="I700" s="27"/>
      <c r="J700" s="27"/>
    </row>
    <row r="701" ht="14.25" customHeight="1">
      <c r="I701" s="27"/>
      <c r="J701" s="27"/>
    </row>
    <row r="702" ht="14.25" customHeight="1">
      <c r="I702" s="27"/>
      <c r="J702" s="27"/>
    </row>
    <row r="703" ht="14.25" customHeight="1">
      <c r="I703" s="27"/>
      <c r="J703" s="27"/>
    </row>
    <row r="704" ht="14.25" customHeight="1">
      <c r="I704" s="27"/>
      <c r="J704" s="27"/>
    </row>
    <row r="705" ht="14.25" customHeight="1">
      <c r="I705" s="27"/>
      <c r="J705" s="27"/>
    </row>
    <row r="706" ht="14.25" customHeight="1">
      <c r="I706" s="27"/>
      <c r="J706" s="27"/>
    </row>
    <row r="707" ht="14.25" customHeight="1">
      <c r="I707" s="27"/>
      <c r="J707" s="27"/>
    </row>
    <row r="708" ht="14.25" customHeight="1">
      <c r="I708" s="27"/>
      <c r="J708" s="27"/>
    </row>
    <row r="709" ht="14.25" customHeight="1">
      <c r="I709" s="27"/>
      <c r="J709" s="27"/>
    </row>
    <row r="710" ht="14.25" customHeight="1">
      <c r="I710" s="27"/>
      <c r="J710" s="27"/>
    </row>
    <row r="711" ht="14.25" customHeight="1">
      <c r="I711" s="27"/>
      <c r="J711" s="27"/>
    </row>
    <row r="712" ht="14.25" customHeight="1">
      <c r="I712" s="27"/>
      <c r="J712" s="27"/>
    </row>
    <row r="713" ht="14.25" customHeight="1">
      <c r="I713" s="27"/>
      <c r="J713" s="27"/>
    </row>
    <row r="714" ht="14.25" customHeight="1">
      <c r="I714" s="27"/>
      <c r="J714" s="27"/>
    </row>
    <row r="715" ht="14.25" customHeight="1">
      <c r="I715" s="27"/>
      <c r="J715" s="27"/>
    </row>
    <row r="716" ht="14.25" customHeight="1">
      <c r="I716" s="27"/>
      <c r="J716" s="27"/>
    </row>
    <row r="717" ht="14.25" customHeight="1">
      <c r="I717" s="27"/>
      <c r="J717" s="27"/>
    </row>
    <row r="718" ht="14.25" customHeight="1">
      <c r="I718" s="27"/>
      <c r="J718" s="27"/>
    </row>
    <row r="719" ht="14.25" customHeight="1">
      <c r="I719" s="27"/>
      <c r="J719" s="27"/>
    </row>
    <row r="720" ht="14.25" customHeight="1">
      <c r="I720" s="27"/>
      <c r="J720" s="27"/>
    </row>
    <row r="721" ht="14.25" customHeight="1">
      <c r="I721" s="27"/>
      <c r="J721" s="27"/>
    </row>
    <row r="722" ht="14.25" customHeight="1">
      <c r="I722" s="27"/>
      <c r="J722" s="27"/>
    </row>
    <row r="723" ht="14.25" customHeight="1">
      <c r="I723" s="27"/>
      <c r="J723" s="27"/>
    </row>
    <row r="724" ht="14.25" customHeight="1">
      <c r="I724" s="27"/>
      <c r="J724" s="27"/>
    </row>
    <row r="725" ht="14.25" customHeight="1">
      <c r="I725" s="27"/>
      <c r="J725" s="27"/>
    </row>
    <row r="726" ht="14.25" customHeight="1">
      <c r="I726" s="27"/>
      <c r="J726" s="27"/>
    </row>
    <row r="727" ht="14.25" customHeight="1">
      <c r="I727" s="27"/>
      <c r="J727" s="27"/>
    </row>
    <row r="728" ht="14.25" customHeight="1">
      <c r="I728" s="27"/>
      <c r="J728" s="27"/>
    </row>
    <row r="729" ht="14.25" customHeight="1">
      <c r="I729" s="27"/>
      <c r="J729" s="27"/>
    </row>
    <row r="730" ht="14.25" customHeight="1">
      <c r="I730" s="27"/>
      <c r="J730" s="27"/>
    </row>
    <row r="731" ht="14.25" customHeight="1">
      <c r="I731" s="27"/>
      <c r="J731" s="27"/>
    </row>
    <row r="732" ht="14.25" customHeight="1">
      <c r="I732" s="27"/>
      <c r="J732" s="27"/>
    </row>
    <row r="733" ht="14.25" customHeight="1">
      <c r="I733" s="27"/>
      <c r="J733" s="27"/>
    </row>
    <row r="734" ht="14.25" customHeight="1">
      <c r="I734" s="27"/>
      <c r="J734" s="27"/>
    </row>
    <row r="735" ht="14.25" customHeight="1">
      <c r="I735" s="27"/>
      <c r="J735" s="27"/>
    </row>
    <row r="736" ht="14.25" customHeight="1">
      <c r="I736" s="27"/>
      <c r="J736" s="27"/>
    </row>
    <row r="737" ht="14.25" customHeight="1">
      <c r="I737" s="27"/>
      <c r="J737" s="27"/>
    </row>
    <row r="738" ht="14.25" customHeight="1">
      <c r="I738" s="27"/>
      <c r="J738" s="27"/>
    </row>
    <row r="739" ht="14.25" customHeight="1">
      <c r="I739" s="27"/>
      <c r="J739" s="27"/>
    </row>
    <row r="740" ht="14.25" customHeight="1">
      <c r="I740" s="27"/>
      <c r="J740" s="27"/>
    </row>
    <row r="741" ht="14.25" customHeight="1">
      <c r="I741" s="27"/>
      <c r="J741" s="27"/>
    </row>
    <row r="742" ht="14.25" customHeight="1">
      <c r="I742" s="27"/>
      <c r="J742" s="27"/>
    </row>
    <row r="743" ht="14.25" customHeight="1">
      <c r="I743" s="27"/>
      <c r="J743" s="27"/>
    </row>
    <row r="744" ht="14.25" customHeight="1">
      <c r="I744" s="27"/>
      <c r="J744" s="27"/>
    </row>
    <row r="745" ht="14.25" customHeight="1">
      <c r="I745" s="27"/>
      <c r="J745" s="27"/>
    </row>
    <row r="746" ht="14.25" customHeight="1">
      <c r="I746" s="27"/>
      <c r="J746" s="27"/>
    </row>
    <row r="747" ht="14.25" customHeight="1">
      <c r="I747" s="27"/>
      <c r="J747" s="27"/>
    </row>
    <row r="748" ht="14.25" customHeight="1">
      <c r="I748" s="27"/>
      <c r="J748" s="27"/>
    </row>
    <row r="749" ht="14.25" customHeight="1">
      <c r="I749" s="27"/>
      <c r="J749" s="27"/>
    </row>
    <row r="750" ht="14.25" customHeight="1">
      <c r="I750" s="27"/>
      <c r="J750" s="27"/>
    </row>
    <row r="751" ht="14.25" customHeight="1">
      <c r="I751" s="27"/>
      <c r="J751" s="27"/>
    </row>
    <row r="752" ht="14.25" customHeight="1">
      <c r="I752" s="27"/>
      <c r="J752" s="27"/>
    </row>
    <row r="753" ht="14.25" customHeight="1">
      <c r="I753" s="27"/>
      <c r="J753" s="27"/>
    </row>
    <row r="754" ht="14.25" customHeight="1">
      <c r="I754" s="27"/>
      <c r="J754" s="27"/>
    </row>
    <row r="755" ht="14.25" customHeight="1">
      <c r="I755" s="27"/>
      <c r="J755" s="27"/>
    </row>
    <row r="756" ht="14.25" customHeight="1">
      <c r="I756" s="27"/>
      <c r="J756" s="27"/>
    </row>
    <row r="757" ht="14.25" customHeight="1">
      <c r="I757" s="27"/>
      <c r="J757" s="27"/>
    </row>
    <row r="758" ht="14.25" customHeight="1">
      <c r="I758" s="27"/>
      <c r="J758" s="27"/>
    </row>
    <row r="759" ht="14.25" customHeight="1">
      <c r="I759" s="27"/>
      <c r="J759" s="27"/>
    </row>
    <row r="760" ht="14.25" customHeight="1">
      <c r="I760" s="27"/>
      <c r="J760" s="27"/>
    </row>
    <row r="761" ht="14.25" customHeight="1">
      <c r="I761" s="27"/>
      <c r="J761" s="27"/>
    </row>
    <row r="762" ht="14.25" customHeight="1">
      <c r="I762" s="27"/>
      <c r="J762" s="27"/>
    </row>
    <row r="763" ht="14.25" customHeight="1">
      <c r="I763" s="27"/>
      <c r="J763" s="27"/>
    </row>
    <row r="764" ht="14.25" customHeight="1">
      <c r="I764" s="27"/>
      <c r="J764" s="27"/>
    </row>
    <row r="765" ht="14.25" customHeight="1">
      <c r="I765" s="27"/>
      <c r="J765" s="27"/>
    </row>
    <row r="766" ht="14.25" customHeight="1">
      <c r="I766" s="27"/>
      <c r="J766" s="27"/>
    </row>
    <row r="767" ht="14.25" customHeight="1">
      <c r="I767" s="27"/>
      <c r="J767" s="27"/>
    </row>
    <row r="768" ht="14.25" customHeight="1">
      <c r="I768" s="27"/>
      <c r="J768" s="27"/>
    </row>
    <row r="769" ht="14.25" customHeight="1">
      <c r="I769" s="27"/>
      <c r="J769" s="27"/>
    </row>
    <row r="770" ht="14.25" customHeight="1">
      <c r="I770" s="27"/>
      <c r="J770" s="27"/>
    </row>
    <row r="771" ht="14.25" customHeight="1">
      <c r="I771" s="27"/>
      <c r="J771" s="27"/>
    </row>
    <row r="772" ht="14.25" customHeight="1">
      <c r="I772" s="27"/>
      <c r="J772" s="27"/>
    </row>
    <row r="773" ht="14.25" customHeight="1">
      <c r="I773" s="27"/>
      <c r="J773" s="27"/>
    </row>
    <row r="774" ht="14.25" customHeight="1">
      <c r="I774" s="27"/>
      <c r="J774" s="27"/>
    </row>
    <row r="775" ht="14.25" customHeight="1">
      <c r="I775" s="27"/>
      <c r="J775" s="27"/>
    </row>
    <row r="776" ht="14.25" customHeight="1">
      <c r="I776" s="27"/>
      <c r="J776" s="27"/>
    </row>
    <row r="777" ht="14.25" customHeight="1">
      <c r="I777" s="27"/>
      <c r="J777" s="27"/>
    </row>
    <row r="778" ht="14.25" customHeight="1">
      <c r="I778" s="27"/>
      <c r="J778" s="27"/>
    </row>
    <row r="779" ht="14.25" customHeight="1">
      <c r="I779" s="27"/>
      <c r="J779" s="27"/>
    </row>
    <row r="780" ht="14.25" customHeight="1">
      <c r="I780" s="27"/>
      <c r="J780" s="27"/>
    </row>
    <row r="781" ht="14.25" customHeight="1">
      <c r="I781" s="27"/>
      <c r="J781" s="27"/>
    </row>
    <row r="782" ht="14.25" customHeight="1">
      <c r="I782" s="27"/>
      <c r="J782" s="27"/>
    </row>
    <row r="783" ht="14.25" customHeight="1">
      <c r="I783" s="27"/>
      <c r="J783" s="27"/>
    </row>
    <row r="784" ht="14.25" customHeight="1">
      <c r="I784" s="27"/>
      <c r="J784" s="27"/>
    </row>
    <row r="785" ht="14.25" customHeight="1">
      <c r="I785" s="27"/>
      <c r="J785" s="27"/>
    </row>
    <row r="786" ht="14.25" customHeight="1">
      <c r="I786" s="27"/>
      <c r="J786" s="27"/>
    </row>
    <row r="787" ht="14.25" customHeight="1">
      <c r="I787" s="27"/>
      <c r="J787" s="27"/>
    </row>
    <row r="788" ht="14.25" customHeight="1">
      <c r="I788" s="27"/>
      <c r="J788" s="27"/>
    </row>
    <row r="789" ht="14.25" customHeight="1">
      <c r="I789" s="27"/>
      <c r="J789" s="27"/>
    </row>
    <row r="790" ht="14.25" customHeight="1">
      <c r="I790" s="27"/>
      <c r="J790" s="27"/>
    </row>
    <row r="791" ht="14.25" customHeight="1">
      <c r="I791" s="27"/>
      <c r="J791" s="27"/>
    </row>
    <row r="792" ht="14.25" customHeight="1">
      <c r="I792" s="27"/>
      <c r="J792" s="27"/>
    </row>
    <row r="793" ht="14.25" customHeight="1">
      <c r="I793" s="27"/>
      <c r="J793" s="27"/>
    </row>
    <row r="794" ht="14.25" customHeight="1">
      <c r="I794" s="27"/>
      <c r="J794" s="27"/>
    </row>
    <row r="795" ht="14.25" customHeight="1">
      <c r="I795" s="27"/>
      <c r="J795" s="27"/>
    </row>
    <row r="796" ht="14.25" customHeight="1">
      <c r="I796" s="27"/>
      <c r="J796" s="27"/>
    </row>
    <row r="797" ht="14.25" customHeight="1">
      <c r="I797" s="27"/>
      <c r="J797" s="27"/>
    </row>
    <row r="798" ht="14.25" customHeight="1">
      <c r="I798" s="27"/>
      <c r="J798" s="27"/>
    </row>
    <row r="799" ht="14.25" customHeight="1">
      <c r="I799" s="27"/>
      <c r="J799" s="27"/>
    </row>
    <row r="800" ht="14.25" customHeight="1">
      <c r="I800" s="27"/>
      <c r="J800" s="27"/>
    </row>
    <row r="801" ht="14.25" customHeight="1">
      <c r="I801" s="27"/>
      <c r="J801" s="27"/>
    </row>
    <row r="802" ht="14.25" customHeight="1">
      <c r="I802" s="27"/>
      <c r="J802" s="27"/>
    </row>
    <row r="803" ht="14.25" customHeight="1">
      <c r="I803" s="27"/>
      <c r="J803" s="27"/>
    </row>
    <row r="804" ht="14.25" customHeight="1">
      <c r="I804" s="27"/>
      <c r="J804" s="27"/>
    </row>
    <row r="805" ht="14.25" customHeight="1">
      <c r="I805" s="27"/>
      <c r="J805" s="27"/>
    </row>
    <row r="806" ht="14.25" customHeight="1">
      <c r="I806" s="27"/>
      <c r="J806" s="27"/>
    </row>
    <row r="807" ht="14.25" customHeight="1">
      <c r="I807" s="27"/>
      <c r="J807" s="27"/>
    </row>
    <row r="808" ht="14.25" customHeight="1">
      <c r="I808" s="27"/>
      <c r="J808" s="27"/>
    </row>
    <row r="809" ht="14.25" customHeight="1">
      <c r="I809" s="27"/>
      <c r="J809" s="27"/>
    </row>
    <row r="810" ht="14.25" customHeight="1">
      <c r="I810" s="27"/>
      <c r="J810" s="27"/>
    </row>
    <row r="811" ht="14.25" customHeight="1">
      <c r="I811" s="27"/>
      <c r="J811" s="27"/>
    </row>
    <row r="812" ht="14.25" customHeight="1">
      <c r="I812" s="27"/>
      <c r="J812" s="27"/>
    </row>
    <row r="813" ht="14.25" customHeight="1">
      <c r="I813" s="27"/>
      <c r="J813" s="27"/>
    </row>
    <row r="814" ht="14.25" customHeight="1">
      <c r="I814" s="27"/>
      <c r="J814" s="27"/>
    </row>
    <row r="815" ht="14.25" customHeight="1">
      <c r="I815" s="27"/>
      <c r="J815" s="27"/>
    </row>
    <row r="816" ht="14.25" customHeight="1">
      <c r="I816" s="27"/>
      <c r="J816" s="27"/>
    </row>
    <row r="817" ht="14.25" customHeight="1">
      <c r="I817" s="27"/>
      <c r="J817" s="27"/>
    </row>
    <row r="818" ht="14.25" customHeight="1">
      <c r="I818" s="27"/>
      <c r="J818" s="27"/>
    </row>
    <row r="819" ht="14.25" customHeight="1">
      <c r="I819" s="27"/>
      <c r="J819" s="27"/>
    </row>
    <row r="820" ht="14.25" customHeight="1">
      <c r="I820" s="27"/>
      <c r="J820" s="27"/>
    </row>
    <row r="821" ht="14.25" customHeight="1">
      <c r="I821" s="27"/>
      <c r="J821" s="27"/>
    </row>
    <row r="822" ht="14.25" customHeight="1">
      <c r="I822" s="27"/>
      <c r="J822" s="27"/>
    </row>
    <row r="823" ht="14.25" customHeight="1">
      <c r="I823" s="27"/>
      <c r="J823" s="27"/>
    </row>
    <row r="824" ht="14.25" customHeight="1">
      <c r="I824" s="27"/>
      <c r="J824" s="27"/>
    </row>
    <row r="825" ht="14.25" customHeight="1">
      <c r="I825" s="27"/>
      <c r="J825" s="27"/>
    </row>
    <row r="826" ht="14.25" customHeight="1">
      <c r="I826" s="27"/>
      <c r="J826" s="27"/>
    </row>
    <row r="827" ht="14.25" customHeight="1">
      <c r="I827" s="27"/>
      <c r="J827" s="27"/>
    </row>
    <row r="828" ht="14.25" customHeight="1">
      <c r="I828" s="27"/>
      <c r="J828" s="27"/>
    </row>
    <row r="829" ht="14.25" customHeight="1">
      <c r="I829" s="27"/>
      <c r="J829" s="27"/>
    </row>
    <row r="830" ht="14.25" customHeight="1">
      <c r="I830" s="27"/>
      <c r="J830" s="27"/>
    </row>
    <row r="831" ht="14.25" customHeight="1">
      <c r="I831" s="27"/>
      <c r="J831" s="27"/>
    </row>
    <row r="832" ht="14.25" customHeight="1">
      <c r="I832" s="27"/>
      <c r="J832" s="27"/>
    </row>
    <row r="833" ht="14.25" customHeight="1">
      <c r="I833" s="27"/>
      <c r="J833" s="27"/>
    </row>
    <row r="834" ht="14.25" customHeight="1">
      <c r="I834" s="27"/>
      <c r="J834" s="27"/>
    </row>
    <row r="835" ht="14.25" customHeight="1">
      <c r="I835" s="27"/>
      <c r="J835" s="27"/>
    </row>
    <row r="836" ht="14.25" customHeight="1">
      <c r="I836" s="27"/>
      <c r="J836" s="27"/>
    </row>
    <row r="837" ht="14.25" customHeight="1">
      <c r="I837" s="27"/>
      <c r="J837" s="27"/>
    </row>
    <row r="838" ht="14.25" customHeight="1">
      <c r="I838" s="27"/>
      <c r="J838" s="27"/>
    </row>
    <row r="839" ht="14.25" customHeight="1">
      <c r="I839" s="27"/>
      <c r="J839" s="27"/>
    </row>
    <row r="840" ht="14.25" customHeight="1">
      <c r="I840" s="27"/>
      <c r="J840" s="27"/>
    </row>
    <row r="841" ht="14.25" customHeight="1">
      <c r="I841" s="27"/>
      <c r="J841" s="27"/>
    </row>
    <row r="842" ht="14.25" customHeight="1">
      <c r="I842" s="27"/>
      <c r="J842" s="27"/>
    </row>
    <row r="843" ht="14.25" customHeight="1">
      <c r="I843" s="27"/>
      <c r="J843" s="27"/>
    </row>
    <row r="844" ht="14.25" customHeight="1">
      <c r="I844" s="27"/>
      <c r="J844" s="27"/>
    </row>
    <row r="845" ht="14.25" customHeight="1">
      <c r="I845" s="27"/>
      <c r="J845" s="27"/>
    </row>
    <row r="846" ht="14.25" customHeight="1">
      <c r="I846" s="27"/>
      <c r="J846" s="27"/>
    </row>
    <row r="847" ht="14.25" customHeight="1">
      <c r="I847" s="27"/>
      <c r="J847" s="27"/>
    </row>
    <row r="848" ht="14.25" customHeight="1">
      <c r="I848" s="27"/>
      <c r="J848" s="27"/>
    </row>
    <row r="849" ht="14.25" customHeight="1">
      <c r="I849" s="27"/>
      <c r="J849" s="27"/>
    </row>
    <row r="850" ht="14.25" customHeight="1">
      <c r="I850" s="27"/>
      <c r="J850" s="27"/>
    </row>
    <row r="851" ht="14.25" customHeight="1">
      <c r="I851" s="27"/>
      <c r="J851" s="27"/>
    </row>
    <row r="852" ht="14.25" customHeight="1">
      <c r="I852" s="27"/>
      <c r="J852" s="27"/>
    </row>
    <row r="853" ht="14.25" customHeight="1">
      <c r="I853" s="27"/>
      <c r="J853" s="27"/>
    </row>
    <row r="854" ht="14.25" customHeight="1">
      <c r="I854" s="27"/>
      <c r="J854" s="27"/>
    </row>
    <row r="855" ht="14.25" customHeight="1">
      <c r="I855" s="27"/>
      <c r="J855" s="27"/>
    </row>
    <row r="856" ht="14.25" customHeight="1">
      <c r="I856" s="27"/>
      <c r="J856" s="27"/>
    </row>
    <row r="857" ht="14.25" customHeight="1">
      <c r="I857" s="27"/>
      <c r="J857" s="27"/>
    </row>
    <row r="858" ht="14.25" customHeight="1">
      <c r="I858" s="27"/>
      <c r="J858" s="27"/>
    </row>
    <row r="859" ht="14.25" customHeight="1">
      <c r="I859" s="27"/>
      <c r="J859" s="27"/>
    </row>
    <row r="860" ht="14.25" customHeight="1">
      <c r="I860" s="27"/>
      <c r="J860" s="27"/>
    </row>
    <row r="861" ht="14.25" customHeight="1">
      <c r="I861" s="27"/>
      <c r="J861" s="27"/>
    </row>
    <row r="862" ht="14.25" customHeight="1">
      <c r="I862" s="27"/>
      <c r="J862" s="27"/>
    </row>
    <row r="863" ht="14.25" customHeight="1">
      <c r="I863" s="27"/>
      <c r="J863" s="27"/>
    </row>
    <row r="864" ht="14.25" customHeight="1">
      <c r="I864" s="27"/>
      <c r="J864" s="27"/>
    </row>
    <row r="865" ht="14.25" customHeight="1">
      <c r="I865" s="27"/>
      <c r="J865" s="27"/>
    </row>
    <row r="866" ht="14.25" customHeight="1">
      <c r="I866" s="27"/>
      <c r="J866" s="27"/>
    </row>
    <row r="867" ht="14.25" customHeight="1">
      <c r="I867" s="27"/>
      <c r="J867" s="27"/>
    </row>
    <row r="868" ht="14.25" customHeight="1">
      <c r="I868" s="27"/>
      <c r="J868" s="27"/>
    </row>
    <row r="869" ht="14.25" customHeight="1">
      <c r="I869" s="27"/>
      <c r="J869" s="27"/>
    </row>
    <row r="870" ht="14.25" customHeight="1">
      <c r="I870" s="27"/>
      <c r="J870" s="27"/>
    </row>
    <row r="871" ht="14.25" customHeight="1">
      <c r="I871" s="27"/>
      <c r="J871" s="27"/>
    </row>
    <row r="872" ht="14.25" customHeight="1">
      <c r="I872" s="27"/>
      <c r="J872" s="27"/>
    </row>
    <row r="873" ht="14.25" customHeight="1">
      <c r="I873" s="27"/>
      <c r="J873" s="27"/>
    </row>
    <row r="874" ht="14.25" customHeight="1">
      <c r="I874" s="27"/>
      <c r="J874" s="27"/>
    </row>
    <row r="875" ht="14.25" customHeight="1">
      <c r="I875" s="27"/>
      <c r="J875" s="27"/>
    </row>
    <row r="876" ht="14.25" customHeight="1">
      <c r="I876" s="27"/>
      <c r="J876" s="27"/>
    </row>
    <row r="877" ht="14.25" customHeight="1">
      <c r="I877" s="27"/>
      <c r="J877" s="27"/>
    </row>
    <row r="878" ht="14.25" customHeight="1">
      <c r="I878" s="27"/>
      <c r="J878" s="27"/>
    </row>
    <row r="879" ht="14.25" customHeight="1">
      <c r="I879" s="27"/>
      <c r="J879" s="27"/>
    </row>
    <row r="880" ht="14.25" customHeight="1">
      <c r="I880" s="27"/>
      <c r="J880" s="27"/>
    </row>
    <row r="881" ht="14.25" customHeight="1">
      <c r="I881" s="27"/>
      <c r="J881" s="27"/>
    </row>
    <row r="882" ht="14.25" customHeight="1">
      <c r="I882" s="27"/>
      <c r="J882" s="27"/>
    </row>
    <row r="883" ht="14.25" customHeight="1">
      <c r="I883" s="27"/>
      <c r="J883" s="27"/>
    </row>
    <row r="884" ht="14.25" customHeight="1">
      <c r="I884" s="27"/>
      <c r="J884" s="27"/>
    </row>
    <row r="885" ht="14.25" customHeight="1">
      <c r="I885" s="27"/>
      <c r="J885" s="27"/>
    </row>
    <row r="886" ht="14.25" customHeight="1">
      <c r="I886" s="27"/>
      <c r="J886" s="27"/>
    </row>
    <row r="887" ht="14.25" customHeight="1">
      <c r="I887" s="27"/>
      <c r="J887" s="27"/>
    </row>
    <row r="888" ht="14.25" customHeight="1">
      <c r="I888" s="27"/>
      <c r="J888" s="27"/>
    </row>
    <row r="889" ht="14.25" customHeight="1">
      <c r="I889" s="27"/>
      <c r="J889" s="27"/>
    </row>
    <row r="890" ht="14.25" customHeight="1">
      <c r="I890" s="27"/>
      <c r="J890" s="27"/>
    </row>
    <row r="891" ht="14.25" customHeight="1">
      <c r="I891" s="27"/>
      <c r="J891" s="27"/>
    </row>
    <row r="892" ht="14.25" customHeight="1">
      <c r="I892" s="27"/>
      <c r="J892" s="27"/>
    </row>
    <row r="893" ht="14.25" customHeight="1">
      <c r="I893" s="27"/>
      <c r="J893" s="27"/>
    </row>
    <row r="894" ht="14.25" customHeight="1">
      <c r="I894" s="27"/>
      <c r="J894" s="27"/>
    </row>
    <row r="895" ht="14.25" customHeight="1">
      <c r="I895" s="27"/>
      <c r="J895" s="27"/>
    </row>
    <row r="896" ht="14.25" customHeight="1">
      <c r="I896" s="27"/>
      <c r="J896" s="27"/>
    </row>
    <row r="897" ht="14.25" customHeight="1">
      <c r="I897" s="27"/>
      <c r="J897" s="27"/>
    </row>
    <row r="898" ht="14.25" customHeight="1">
      <c r="I898" s="27"/>
      <c r="J898" s="27"/>
    </row>
    <row r="899" ht="14.25" customHeight="1">
      <c r="I899" s="27"/>
      <c r="J899" s="27"/>
    </row>
    <row r="900" ht="14.25" customHeight="1">
      <c r="I900" s="27"/>
      <c r="J900" s="27"/>
    </row>
    <row r="901" ht="14.25" customHeight="1">
      <c r="I901" s="27"/>
      <c r="J901" s="27"/>
    </row>
    <row r="902" ht="14.25" customHeight="1">
      <c r="I902" s="27"/>
      <c r="J902" s="27"/>
    </row>
    <row r="903" ht="14.25" customHeight="1">
      <c r="I903" s="27"/>
      <c r="J903" s="27"/>
    </row>
    <row r="904" ht="14.25" customHeight="1">
      <c r="I904" s="27"/>
      <c r="J904" s="27"/>
    </row>
    <row r="905" ht="14.25" customHeight="1">
      <c r="I905" s="27"/>
      <c r="J905" s="27"/>
    </row>
    <row r="906" ht="14.25" customHeight="1">
      <c r="I906" s="27"/>
      <c r="J906" s="27"/>
    </row>
    <row r="907" ht="14.25" customHeight="1">
      <c r="I907" s="27"/>
      <c r="J907" s="27"/>
    </row>
    <row r="908" ht="14.25" customHeight="1">
      <c r="I908" s="27"/>
      <c r="J908" s="27"/>
    </row>
    <row r="909" ht="14.25" customHeight="1">
      <c r="I909" s="27"/>
      <c r="J909" s="27"/>
    </row>
    <row r="910" ht="14.25" customHeight="1">
      <c r="I910" s="27"/>
      <c r="J910" s="27"/>
    </row>
    <row r="911" ht="14.25" customHeight="1">
      <c r="I911" s="27"/>
      <c r="J911" s="27"/>
    </row>
    <row r="912" ht="14.25" customHeight="1">
      <c r="I912" s="27"/>
      <c r="J912" s="27"/>
    </row>
    <row r="913" ht="14.25" customHeight="1">
      <c r="I913" s="27"/>
      <c r="J913" s="27"/>
    </row>
    <row r="914" ht="14.25" customHeight="1">
      <c r="I914" s="27"/>
      <c r="J914" s="27"/>
    </row>
    <row r="915" ht="14.25" customHeight="1">
      <c r="I915" s="27"/>
      <c r="J915" s="27"/>
    </row>
    <row r="916" ht="14.25" customHeight="1">
      <c r="I916" s="27"/>
      <c r="J916" s="27"/>
    </row>
    <row r="917" ht="14.25" customHeight="1">
      <c r="I917" s="27"/>
      <c r="J917" s="27"/>
    </row>
    <row r="918" ht="14.25" customHeight="1">
      <c r="I918" s="27"/>
      <c r="J918" s="27"/>
    </row>
    <row r="919" ht="14.25" customHeight="1">
      <c r="I919" s="27"/>
      <c r="J919" s="27"/>
    </row>
    <row r="920" ht="14.25" customHeight="1">
      <c r="I920" s="27"/>
      <c r="J920" s="27"/>
    </row>
    <row r="921" ht="14.25" customHeight="1">
      <c r="I921" s="27"/>
      <c r="J921" s="27"/>
    </row>
    <row r="922" ht="14.25" customHeight="1">
      <c r="I922" s="27"/>
      <c r="J922" s="27"/>
    </row>
    <row r="923" ht="14.25" customHeight="1">
      <c r="I923" s="27"/>
      <c r="J923" s="27"/>
    </row>
    <row r="924" ht="14.25" customHeight="1">
      <c r="I924" s="27"/>
      <c r="J924" s="27"/>
    </row>
    <row r="925" ht="14.25" customHeight="1">
      <c r="I925" s="27"/>
      <c r="J925" s="27"/>
    </row>
    <row r="926" ht="14.25" customHeight="1">
      <c r="I926" s="27"/>
      <c r="J926" s="27"/>
    </row>
    <row r="927" ht="14.25" customHeight="1">
      <c r="I927" s="27"/>
      <c r="J927" s="27"/>
    </row>
    <row r="928" ht="14.25" customHeight="1">
      <c r="I928" s="27"/>
      <c r="J928" s="27"/>
    </row>
    <row r="929" ht="14.25" customHeight="1">
      <c r="I929" s="27"/>
      <c r="J929" s="27"/>
    </row>
    <row r="930" ht="14.25" customHeight="1">
      <c r="I930" s="27"/>
      <c r="J930" s="27"/>
    </row>
    <row r="931" ht="14.25" customHeight="1">
      <c r="I931" s="27"/>
      <c r="J931" s="27"/>
    </row>
    <row r="932" ht="14.25" customHeight="1">
      <c r="I932" s="27"/>
      <c r="J932" s="27"/>
    </row>
    <row r="933" ht="14.25" customHeight="1">
      <c r="I933" s="27"/>
      <c r="J933" s="27"/>
    </row>
    <row r="934" ht="14.25" customHeight="1">
      <c r="I934" s="27"/>
      <c r="J934" s="27"/>
    </row>
    <row r="935" ht="14.25" customHeight="1">
      <c r="I935" s="27"/>
      <c r="J935" s="27"/>
    </row>
    <row r="936" ht="14.25" customHeight="1">
      <c r="I936" s="27"/>
      <c r="J936" s="27"/>
    </row>
    <row r="937" ht="14.25" customHeight="1">
      <c r="I937" s="27"/>
      <c r="J937" s="27"/>
    </row>
    <row r="938" ht="14.25" customHeight="1">
      <c r="I938" s="27"/>
      <c r="J938" s="27"/>
    </row>
    <row r="939" ht="14.25" customHeight="1">
      <c r="I939" s="27"/>
      <c r="J939" s="27"/>
    </row>
    <row r="940" ht="14.25" customHeight="1">
      <c r="I940" s="27"/>
      <c r="J940" s="27"/>
    </row>
    <row r="941" ht="14.25" customHeight="1">
      <c r="I941" s="27"/>
      <c r="J941" s="27"/>
    </row>
    <row r="942" ht="14.25" customHeight="1">
      <c r="I942" s="27"/>
      <c r="J942" s="27"/>
    </row>
    <row r="943" ht="14.25" customHeight="1">
      <c r="I943" s="27"/>
      <c r="J943" s="27"/>
    </row>
    <row r="944" ht="14.25" customHeight="1">
      <c r="I944" s="27"/>
      <c r="J944" s="27"/>
    </row>
    <row r="945" ht="14.25" customHeight="1">
      <c r="I945" s="27"/>
      <c r="J945" s="27"/>
    </row>
    <row r="946" ht="14.25" customHeight="1">
      <c r="I946" s="27"/>
      <c r="J946" s="27"/>
    </row>
    <row r="947" ht="14.25" customHeight="1">
      <c r="I947" s="27"/>
      <c r="J947" s="27"/>
    </row>
    <row r="948" ht="14.25" customHeight="1">
      <c r="I948" s="27"/>
      <c r="J948" s="27"/>
    </row>
    <row r="949" ht="14.25" customHeight="1">
      <c r="I949" s="27"/>
      <c r="J949" s="27"/>
    </row>
    <row r="950" ht="14.25" customHeight="1">
      <c r="I950" s="27"/>
      <c r="J950" s="27"/>
    </row>
    <row r="951" ht="14.25" customHeight="1">
      <c r="I951" s="27"/>
      <c r="J951" s="27"/>
    </row>
    <row r="952" ht="14.25" customHeight="1">
      <c r="I952" s="27"/>
      <c r="J952" s="27"/>
    </row>
    <row r="953" ht="14.25" customHeight="1">
      <c r="I953" s="27"/>
      <c r="J953" s="27"/>
    </row>
    <row r="954" ht="14.25" customHeight="1">
      <c r="I954" s="27"/>
      <c r="J954" s="27"/>
    </row>
    <row r="955" ht="14.25" customHeight="1">
      <c r="I955" s="27"/>
      <c r="J955" s="27"/>
    </row>
    <row r="956" ht="14.25" customHeight="1">
      <c r="I956" s="27"/>
      <c r="J956" s="27"/>
    </row>
    <row r="957" ht="14.25" customHeight="1">
      <c r="I957" s="27"/>
      <c r="J957" s="27"/>
    </row>
    <row r="958" ht="14.25" customHeight="1">
      <c r="I958" s="27"/>
      <c r="J958" s="27"/>
    </row>
    <row r="959" ht="14.25" customHeight="1">
      <c r="I959" s="27"/>
      <c r="J959" s="27"/>
    </row>
    <row r="960" ht="14.25" customHeight="1">
      <c r="I960" s="27"/>
      <c r="J960" s="27"/>
    </row>
    <row r="961" ht="14.25" customHeight="1">
      <c r="I961" s="27"/>
      <c r="J961" s="27"/>
    </row>
    <row r="962" ht="14.25" customHeight="1">
      <c r="I962" s="27"/>
      <c r="J962" s="27"/>
    </row>
    <row r="963" ht="14.25" customHeight="1">
      <c r="I963" s="27"/>
      <c r="J963" s="27"/>
    </row>
    <row r="964" ht="14.25" customHeight="1">
      <c r="I964" s="27"/>
      <c r="J964" s="27"/>
    </row>
    <row r="965" ht="14.25" customHeight="1">
      <c r="I965" s="27"/>
      <c r="J965" s="27"/>
    </row>
    <row r="966" ht="14.25" customHeight="1">
      <c r="I966" s="27"/>
      <c r="J966" s="27"/>
    </row>
    <row r="967" ht="14.25" customHeight="1">
      <c r="I967" s="27"/>
      <c r="J967" s="27"/>
    </row>
    <row r="968" ht="14.25" customHeight="1">
      <c r="I968" s="27"/>
      <c r="J968" s="27"/>
    </row>
    <row r="969" ht="14.25" customHeight="1">
      <c r="I969" s="27"/>
      <c r="J969" s="27"/>
    </row>
    <row r="970" ht="14.25" customHeight="1">
      <c r="I970" s="27"/>
      <c r="J970" s="27"/>
    </row>
    <row r="971" ht="14.25" customHeight="1">
      <c r="I971" s="27"/>
      <c r="J971" s="27"/>
    </row>
    <row r="972" ht="14.25" customHeight="1">
      <c r="I972" s="27"/>
      <c r="J972" s="27"/>
    </row>
    <row r="973" ht="14.25" customHeight="1">
      <c r="I973" s="27"/>
      <c r="J973" s="27"/>
    </row>
    <row r="974" ht="14.25" customHeight="1">
      <c r="I974" s="27"/>
      <c r="J974" s="27"/>
    </row>
    <row r="975" ht="14.25" customHeight="1">
      <c r="I975" s="27"/>
      <c r="J975" s="27"/>
    </row>
    <row r="976" ht="14.25" customHeight="1">
      <c r="I976" s="27"/>
      <c r="J976" s="27"/>
    </row>
    <row r="977" ht="14.25" customHeight="1">
      <c r="I977" s="27"/>
      <c r="J977" s="27"/>
    </row>
    <row r="978" ht="14.25" customHeight="1">
      <c r="I978" s="27"/>
      <c r="J978" s="27"/>
    </row>
    <row r="979" ht="14.25" customHeight="1">
      <c r="I979" s="27"/>
      <c r="J979" s="27"/>
    </row>
    <row r="980" ht="14.25" customHeight="1">
      <c r="I980" s="27"/>
      <c r="J980" s="27"/>
    </row>
    <row r="981" ht="14.25" customHeight="1">
      <c r="I981" s="27"/>
      <c r="J981" s="27"/>
    </row>
    <row r="982" ht="14.25" customHeight="1">
      <c r="I982" s="27"/>
      <c r="J982" s="27"/>
    </row>
    <row r="983" ht="14.25" customHeight="1">
      <c r="I983" s="27"/>
      <c r="J983" s="27"/>
    </row>
    <row r="984" ht="14.25" customHeight="1">
      <c r="I984" s="27"/>
      <c r="J984" s="27"/>
    </row>
    <row r="985" ht="14.25" customHeight="1">
      <c r="I985" s="27"/>
      <c r="J985" s="27"/>
    </row>
    <row r="986" ht="14.25" customHeight="1">
      <c r="I986" s="27"/>
      <c r="J986" s="27"/>
    </row>
    <row r="987" ht="14.25" customHeight="1">
      <c r="I987" s="27"/>
      <c r="J987" s="27"/>
    </row>
    <row r="988" ht="14.25" customHeight="1">
      <c r="I988" s="27"/>
      <c r="J988" s="27"/>
    </row>
    <row r="989" ht="14.25" customHeight="1">
      <c r="I989" s="27"/>
      <c r="J989" s="27"/>
    </row>
    <row r="990" ht="14.25" customHeight="1">
      <c r="I990" s="27"/>
      <c r="J990" s="27"/>
    </row>
    <row r="991" ht="14.25" customHeight="1">
      <c r="I991" s="27"/>
      <c r="J991" s="27"/>
    </row>
    <row r="992" ht="14.25" customHeight="1">
      <c r="I992" s="27"/>
      <c r="J992" s="27"/>
    </row>
    <row r="993" ht="14.25" customHeight="1">
      <c r="I993" s="27"/>
      <c r="J993" s="27"/>
    </row>
    <row r="994" ht="14.25" customHeight="1">
      <c r="I994" s="27"/>
      <c r="J994" s="27"/>
    </row>
    <row r="995" ht="14.25" customHeight="1">
      <c r="I995" s="27"/>
      <c r="J995" s="27"/>
    </row>
    <row r="996" ht="14.25" customHeight="1">
      <c r="I996" s="27"/>
      <c r="J996" s="27"/>
    </row>
    <row r="997" ht="14.25" customHeight="1">
      <c r="I997" s="27"/>
      <c r="J997" s="27"/>
    </row>
    <row r="998" ht="14.25" customHeight="1">
      <c r="I998" s="27"/>
      <c r="J998" s="27"/>
    </row>
    <row r="999" ht="14.25" customHeight="1">
      <c r="I999" s="27"/>
      <c r="J999" s="27"/>
    </row>
    <row r="1000" ht="14.25" customHeight="1">
      <c r="I1000" s="27"/>
      <c r="J1000" s="2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15.0"/>
  </cols>
  <sheetData>
    <row r="1">
      <c r="A1" s="28" t="s">
        <v>1827</v>
      </c>
      <c r="B1" s="28" t="s">
        <v>1828</v>
      </c>
    </row>
    <row r="2">
      <c r="A2" s="28" t="s">
        <v>1829</v>
      </c>
      <c r="B2" s="28" t="s">
        <v>1830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2025-03-07T19:47:28Z</dcterms:created>
  <dc:creator>Andrew Reyes</dc:creator>
</cp:coreProperties>
</file>